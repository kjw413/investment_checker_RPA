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99. archive\투자실적 등록 검토 자동화\투자리스트_실제\"/>
    </mc:Choice>
  </mc:AlternateContent>
  <xr:revisionPtr revIDLastSave="0" documentId="13_ncr:1_{24038FCA-56CF-4CCC-8E13-9D865E114749}" xr6:coauthVersionLast="47" xr6:coauthVersionMax="47" xr10:uidLastSave="{00000000-0000-0000-0000-000000000000}"/>
  <bookViews>
    <workbookView minimized="1" xWindow="5715" yWindow="1920" windowWidth="21600" windowHeight="12360" xr2:uid="{B9EFD70A-3E22-4554-A7F6-A3EB38FA062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2" i="1" l="1"/>
  <c r="N292" i="1"/>
  <c r="L292" i="1"/>
  <c r="K292" i="1"/>
  <c r="P291" i="1"/>
  <c r="M291" i="1"/>
  <c r="P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P264" i="1"/>
  <c r="P292" i="1" s="1"/>
  <c r="M264" i="1"/>
  <c r="M292" i="1" s="1"/>
  <c r="Q263" i="1"/>
  <c r="Q292" i="1" s="1"/>
  <c r="O263" i="1"/>
  <c r="N263" i="1"/>
  <c r="L263" i="1"/>
  <c r="K263" i="1"/>
  <c r="M261" i="1"/>
  <c r="M260" i="1"/>
  <c r="P259" i="1"/>
  <c r="M258" i="1"/>
  <c r="P257" i="1"/>
  <c r="M257" i="1"/>
  <c r="P256" i="1"/>
  <c r="M256" i="1"/>
  <c r="P255" i="1"/>
  <c r="M255" i="1"/>
  <c r="P254" i="1"/>
  <c r="M254" i="1"/>
  <c r="P253" i="1"/>
  <c r="M253" i="1"/>
  <c r="P252" i="1"/>
  <c r="M252" i="1"/>
  <c r="P251" i="1"/>
  <c r="M251" i="1"/>
  <c r="P250" i="1"/>
  <c r="M250" i="1"/>
  <c r="P249" i="1"/>
  <c r="P248" i="1"/>
  <c r="M248" i="1"/>
  <c r="P247" i="1"/>
  <c r="P246" i="1"/>
  <c r="M246" i="1"/>
  <c r="P245" i="1"/>
  <c r="M245" i="1"/>
  <c r="P244" i="1"/>
  <c r="M244" i="1"/>
  <c r="P243" i="1"/>
  <c r="M243" i="1"/>
  <c r="P242" i="1"/>
  <c r="P241" i="1"/>
  <c r="P240" i="1"/>
  <c r="P263" i="1" s="1"/>
  <c r="M240" i="1"/>
  <c r="M263" i="1" s="1"/>
  <c r="J9" i="1" s="1"/>
  <c r="J15" i="1" s="1"/>
  <c r="Q239" i="1"/>
  <c r="Q293" i="1" s="1"/>
  <c r="O239" i="1"/>
  <c r="O293" i="1" s="1"/>
  <c r="N239" i="1"/>
  <c r="N293" i="1" s="1"/>
  <c r="L239" i="1"/>
  <c r="L293" i="1" s="1"/>
  <c r="K239" i="1"/>
  <c r="M238" i="1"/>
  <c r="P237" i="1"/>
  <c r="L237" i="1"/>
  <c r="M237" i="1" s="1"/>
  <c r="H13" i="1" s="1"/>
  <c r="P236" i="1"/>
  <c r="P235" i="1"/>
  <c r="M235" i="1"/>
  <c r="P234" i="1"/>
  <c r="P233" i="1"/>
  <c r="M233" i="1"/>
  <c r="P232" i="1"/>
  <c r="M232" i="1"/>
  <c r="P231" i="1"/>
  <c r="P230" i="1"/>
  <c r="P229" i="1"/>
  <c r="M229" i="1"/>
  <c r="P228" i="1"/>
  <c r="M228" i="1"/>
  <c r="P227" i="1"/>
  <c r="P226" i="1"/>
  <c r="M226" i="1"/>
  <c r="P225" i="1"/>
  <c r="P224" i="1"/>
  <c r="M224" i="1"/>
  <c r="P223" i="1"/>
  <c r="P222" i="1"/>
  <c r="M222" i="1"/>
  <c r="P221" i="1"/>
  <c r="P220" i="1"/>
  <c r="M220" i="1"/>
  <c r="M239" i="1" s="1"/>
  <c r="P219" i="1"/>
  <c r="P218" i="1"/>
  <c r="P217" i="1"/>
  <c r="M217" i="1"/>
  <c r="P216" i="1"/>
  <c r="P215" i="1"/>
  <c r="P214" i="1"/>
  <c r="M214" i="1"/>
  <c r="P213" i="1"/>
  <c r="P212" i="1"/>
  <c r="P239" i="1" s="1"/>
  <c r="M212" i="1"/>
  <c r="P211" i="1"/>
  <c r="M211" i="1"/>
  <c r="Q210" i="1"/>
  <c r="O210" i="1"/>
  <c r="N210" i="1"/>
  <c r="L210" i="1"/>
  <c r="K210" i="1"/>
  <c r="P208" i="1"/>
  <c r="P207" i="1"/>
  <c r="M207" i="1"/>
  <c r="P206" i="1"/>
  <c r="P205" i="1"/>
  <c r="P204" i="1"/>
  <c r="P203" i="1"/>
  <c r="P202" i="1"/>
  <c r="M202" i="1"/>
  <c r="P201" i="1"/>
  <c r="M201" i="1"/>
  <c r="P200" i="1"/>
  <c r="M200" i="1"/>
  <c r="P199" i="1"/>
  <c r="M199" i="1"/>
  <c r="P198" i="1"/>
  <c r="M198" i="1"/>
  <c r="P197" i="1"/>
  <c r="M197" i="1"/>
  <c r="P196" i="1"/>
  <c r="M196" i="1"/>
  <c r="P195" i="1"/>
  <c r="M195" i="1"/>
  <c r="P194" i="1"/>
  <c r="M194" i="1"/>
  <c r="P193" i="1"/>
  <c r="M192" i="1"/>
  <c r="M191" i="1"/>
  <c r="M190" i="1"/>
  <c r="P189" i="1"/>
  <c r="M189" i="1"/>
  <c r="P188" i="1"/>
  <c r="P187" i="1"/>
  <c r="P186" i="1"/>
  <c r="M186" i="1"/>
  <c r="P185" i="1"/>
  <c r="P184" i="1"/>
  <c r="P183" i="1"/>
  <c r="M183" i="1"/>
  <c r="P182" i="1"/>
  <c r="M182" i="1"/>
  <c r="P181" i="1"/>
  <c r="P180" i="1"/>
  <c r="M180" i="1"/>
  <c r="P179" i="1"/>
  <c r="M179" i="1"/>
  <c r="P178" i="1"/>
  <c r="M178" i="1"/>
  <c r="P177" i="1"/>
  <c r="M177" i="1"/>
  <c r="P176" i="1"/>
  <c r="P175" i="1"/>
  <c r="M175" i="1"/>
  <c r="P174" i="1"/>
  <c r="M174" i="1"/>
  <c r="P173" i="1"/>
  <c r="P172" i="1"/>
  <c r="P171" i="1"/>
  <c r="P170" i="1"/>
  <c r="P169" i="1"/>
  <c r="P168" i="1"/>
  <c r="M168" i="1"/>
  <c r="P167" i="1"/>
  <c r="M167" i="1"/>
  <c r="M166" i="1"/>
  <c r="M165" i="1"/>
  <c r="P164" i="1"/>
  <c r="M164" i="1"/>
  <c r="P163" i="1"/>
  <c r="M163" i="1"/>
  <c r="P162" i="1"/>
  <c r="P161" i="1"/>
  <c r="M161" i="1"/>
  <c r="P160" i="1"/>
  <c r="M160" i="1"/>
  <c r="P159" i="1"/>
  <c r="M159" i="1"/>
  <c r="F13" i="1" s="1"/>
  <c r="P158" i="1"/>
  <c r="M158" i="1"/>
  <c r="P157" i="1"/>
  <c r="P156" i="1"/>
  <c r="M156" i="1"/>
  <c r="P155" i="1"/>
  <c r="M155" i="1"/>
  <c r="P154" i="1"/>
  <c r="M154" i="1"/>
  <c r="P153" i="1"/>
  <c r="M153" i="1"/>
  <c r="M152" i="1"/>
  <c r="P151" i="1"/>
  <c r="M151" i="1"/>
  <c r="P150" i="1"/>
  <c r="M150" i="1"/>
  <c r="P149" i="1"/>
  <c r="M149" i="1"/>
  <c r="P148" i="1"/>
  <c r="M148" i="1"/>
  <c r="P147" i="1"/>
  <c r="M147" i="1"/>
  <c r="M146" i="1"/>
  <c r="M145" i="1"/>
  <c r="M144" i="1"/>
  <c r="P143" i="1"/>
  <c r="M143" i="1"/>
  <c r="P142" i="1"/>
  <c r="P141" i="1"/>
  <c r="P140" i="1"/>
  <c r="P139" i="1"/>
  <c r="M139" i="1"/>
  <c r="P138" i="1"/>
  <c r="M138" i="1"/>
  <c r="P137" i="1"/>
  <c r="P136" i="1"/>
  <c r="P135" i="1"/>
  <c r="P134" i="1"/>
  <c r="M134" i="1"/>
  <c r="P133" i="1"/>
  <c r="M133" i="1"/>
  <c r="P132" i="1"/>
  <c r="P131" i="1"/>
  <c r="P130" i="1"/>
  <c r="P129" i="1"/>
  <c r="M129" i="1"/>
  <c r="P128" i="1"/>
  <c r="M128" i="1"/>
  <c r="P127" i="1"/>
  <c r="P126" i="1"/>
  <c r="M126" i="1"/>
  <c r="P125" i="1"/>
  <c r="P124" i="1"/>
  <c r="M124" i="1"/>
  <c r="P123" i="1"/>
  <c r="M123" i="1"/>
  <c r="P122" i="1"/>
  <c r="M122" i="1"/>
  <c r="P121" i="1"/>
  <c r="M121" i="1"/>
  <c r="P120" i="1"/>
  <c r="P119" i="1"/>
  <c r="M119" i="1"/>
  <c r="P118" i="1"/>
  <c r="M118" i="1"/>
  <c r="P117" i="1"/>
  <c r="P116" i="1"/>
  <c r="P115" i="1"/>
  <c r="M115" i="1"/>
  <c r="P114" i="1"/>
  <c r="P113" i="1"/>
  <c r="P112" i="1"/>
  <c r="M112" i="1"/>
  <c r="P111" i="1"/>
  <c r="M111" i="1"/>
  <c r="P110" i="1"/>
  <c r="M110" i="1"/>
  <c r="P109" i="1"/>
  <c r="M109" i="1"/>
  <c r="P108" i="1"/>
  <c r="P107" i="1"/>
  <c r="P106" i="1"/>
  <c r="M106" i="1"/>
  <c r="P105" i="1"/>
  <c r="M105" i="1"/>
  <c r="P104" i="1"/>
  <c r="P103" i="1"/>
  <c r="M103" i="1"/>
  <c r="P102" i="1"/>
  <c r="M102" i="1"/>
  <c r="P101" i="1"/>
  <c r="M101" i="1"/>
  <c r="P100" i="1"/>
  <c r="M100" i="1"/>
  <c r="P99" i="1"/>
  <c r="M99" i="1"/>
  <c r="P98" i="1"/>
  <c r="M98" i="1"/>
  <c r="P97" i="1"/>
  <c r="P96" i="1"/>
  <c r="P95" i="1"/>
  <c r="M95" i="1"/>
  <c r="P94" i="1"/>
  <c r="M94" i="1"/>
  <c r="P93" i="1"/>
  <c r="M93" i="1"/>
  <c r="P92" i="1"/>
  <c r="P91" i="1"/>
  <c r="M91" i="1"/>
  <c r="P90" i="1"/>
  <c r="M90" i="1"/>
  <c r="P89" i="1"/>
  <c r="M89" i="1"/>
  <c r="P88" i="1"/>
  <c r="M88" i="1"/>
  <c r="P87" i="1"/>
  <c r="M87" i="1"/>
  <c r="P86" i="1"/>
  <c r="M86" i="1"/>
  <c r="P85" i="1"/>
  <c r="P84" i="1"/>
  <c r="P83" i="1"/>
  <c r="P82" i="1"/>
  <c r="P81" i="1"/>
  <c r="P80" i="1"/>
  <c r="M80" i="1"/>
  <c r="P79" i="1"/>
  <c r="M79" i="1"/>
  <c r="P78" i="1"/>
  <c r="M78" i="1"/>
  <c r="M77" i="1"/>
  <c r="M76" i="1"/>
  <c r="M75" i="1"/>
  <c r="M74" i="1"/>
  <c r="P73" i="1"/>
  <c r="P72" i="1"/>
  <c r="P71" i="1"/>
  <c r="P70" i="1"/>
  <c r="P69" i="1"/>
  <c r="M69" i="1"/>
  <c r="P68" i="1"/>
  <c r="P67" i="1"/>
  <c r="P66" i="1"/>
  <c r="P65" i="1"/>
  <c r="M65" i="1"/>
  <c r="P64" i="1"/>
  <c r="M64" i="1"/>
  <c r="P63" i="1"/>
  <c r="P62" i="1"/>
  <c r="P61" i="1"/>
  <c r="P60" i="1"/>
  <c r="M60" i="1"/>
  <c r="P59" i="1"/>
  <c r="M59" i="1"/>
  <c r="P58" i="1"/>
  <c r="M58" i="1"/>
  <c r="P57" i="1"/>
  <c r="M57" i="1"/>
  <c r="P56" i="1"/>
  <c r="M56" i="1"/>
  <c r="F12" i="1" s="1"/>
  <c r="P55" i="1"/>
  <c r="P54" i="1"/>
  <c r="P53" i="1"/>
  <c r="M53" i="1"/>
  <c r="P52" i="1"/>
  <c r="M52" i="1"/>
  <c r="P51" i="1"/>
  <c r="M51" i="1"/>
  <c r="P50" i="1"/>
  <c r="P49" i="1"/>
  <c r="M49" i="1"/>
  <c r="P48" i="1"/>
  <c r="M48" i="1"/>
  <c r="P47" i="1"/>
  <c r="M47" i="1"/>
  <c r="P46" i="1"/>
  <c r="M46" i="1"/>
  <c r="P45" i="1"/>
  <c r="M45" i="1"/>
  <c r="P44" i="1"/>
  <c r="M44" i="1"/>
  <c r="P43" i="1"/>
  <c r="M43" i="1"/>
  <c r="P42" i="1"/>
  <c r="M42" i="1"/>
  <c r="M41" i="1"/>
  <c r="P40" i="1"/>
  <c r="M40" i="1"/>
  <c r="P39" i="1"/>
  <c r="M39" i="1"/>
  <c r="F11" i="1" s="1"/>
  <c r="P38" i="1"/>
  <c r="P37" i="1"/>
  <c r="P36" i="1"/>
  <c r="P35" i="1"/>
  <c r="P34" i="1"/>
  <c r="M34" i="1"/>
  <c r="P33" i="1"/>
  <c r="M33" i="1"/>
  <c r="M32" i="1"/>
  <c r="P31" i="1"/>
  <c r="M31" i="1"/>
  <c r="P30" i="1"/>
  <c r="M30" i="1"/>
  <c r="P29" i="1"/>
  <c r="M29" i="1"/>
  <c r="P28" i="1"/>
  <c r="M28" i="1"/>
  <c r="P27" i="1"/>
  <c r="P210" i="1" s="1"/>
  <c r="M27" i="1"/>
  <c r="M210" i="1" s="1"/>
  <c r="Q26" i="1"/>
  <c r="O26" i="1"/>
  <c r="N26" i="1"/>
  <c r="L26" i="1"/>
  <c r="K26" i="1"/>
  <c r="K293" i="1" s="1"/>
  <c r="P25" i="1"/>
  <c r="M25" i="1"/>
  <c r="P24" i="1"/>
  <c r="M24" i="1"/>
  <c r="P23" i="1"/>
  <c r="M23" i="1"/>
  <c r="P22" i="1"/>
  <c r="P26" i="1" s="1"/>
  <c r="M22" i="1"/>
  <c r="D11" i="1" s="1"/>
  <c r="P21" i="1"/>
  <c r="M21" i="1"/>
  <c r="M26" i="1" s="1"/>
  <c r="H14" i="1"/>
  <c r="F14" i="1"/>
  <c r="D14" i="1"/>
  <c r="L14" i="1" s="1"/>
  <c r="D13" i="1"/>
  <c r="H12" i="1"/>
  <c r="D12" i="1"/>
  <c r="H11" i="1"/>
  <c r="F10" i="1"/>
  <c r="H9" i="1"/>
  <c r="F9" i="1"/>
  <c r="D9" i="1"/>
  <c r="L11" i="1" l="1"/>
  <c r="L13" i="1"/>
  <c r="P293" i="1"/>
  <c r="M293" i="1"/>
  <c r="N294" i="1" s="1"/>
  <c r="F15" i="1"/>
  <c r="L12" i="1"/>
  <c r="L294" i="1"/>
  <c r="L9" i="1"/>
  <c r="H10" i="1"/>
  <c r="H15" i="1" s="1"/>
  <c r="D10" i="1"/>
  <c r="L10" i="1" s="1"/>
  <c r="L15" i="1" l="1"/>
  <c r="M294" i="1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68" authorId="0" shapeId="0" xr:uid="{07027138-00ED-43F1-BC95-6C976D346E51}">
      <text>
        <r>
          <rPr>
            <b/>
            <sz val="9"/>
            <color indexed="81"/>
            <rFont val="Tahoma"/>
            <family val="2"/>
          </rPr>
          <t>AD005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</t>
        </r>
      </text>
    </comment>
    <comment ref="K268" authorId="0" shapeId="0" xr:uid="{CD964B22-9082-483E-9143-15C2125EECBA}">
      <text>
        <r>
          <rPr>
            <b/>
            <sz val="9"/>
            <color indexed="81"/>
            <rFont val="돋움"/>
            <family val="3"/>
            <charset val="129"/>
          </rPr>
          <t>경계측량</t>
        </r>
        <r>
          <rPr>
            <b/>
            <sz val="9"/>
            <color indexed="81"/>
            <rFont val="Tahoma"/>
            <family val="2"/>
          </rPr>
          <t xml:space="preserve"> 10,422 +
</t>
        </r>
        <r>
          <rPr>
            <b/>
            <sz val="9"/>
            <color indexed="81"/>
            <rFont val="돋움"/>
            <family val="3"/>
            <charset val="129"/>
          </rPr>
          <t>잔액</t>
        </r>
        <r>
          <rPr>
            <b/>
            <sz val="9"/>
            <color indexed="81"/>
            <rFont val="Tahoma"/>
            <family val="2"/>
          </rPr>
          <t xml:space="preserve"> 30%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</text>
    </comment>
    <comment ref="K269" authorId="0" shapeId="0" xr:uid="{E9F043F4-B929-48D0-B771-C76127F7CDBE}">
      <text>
        <r>
          <rPr>
            <b/>
            <sz val="9"/>
            <color indexed="81"/>
            <rFont val="돋움"/>
            <family val="3"/>
            <charset val="129"/>
          </rPr>
          <t>유틸리티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500,000 +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30%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</text>
    </comment>
  </commentList>
</comments>
</file>

<file path=xl/sharedStrings.xml><?xml version="1.0" encoding="utf-8"?>
<sst xmlns="http://schemas.openxmlformats.org/spreadsheetml/2006/main" count="1609" uniqueCount="576">
  <si>
    <t xml:space="preserve"> Ⅳ. '26년 투자 리스트 [ 전체 ]</t>
    <phoneticPr fontId="3" type="noConversion"/>
  </si>
  <si>
    <t>1. 투자 계획 요약</t>
    <phoneticPr fontId="3" type="noConversion"/>
  </si>
  <si>
    <t>[ 단위 : 백만원 ]</t>
    <phoneticPr fontId="3" type="noConversion"/>
  </si>
  <si>
    <t>구분</t>
    <phoneticPr fontId="3" type="noConversion"/>
  </si>
  <si>
    <t>공장유지보수</t>
    <phoneticPr fontId="3" type="noConversion"/>
  </si>
  <si>
    <t>개선투자</t>
    <phoneticPr fontId="3" type="noConversion"/>
  </si>
  <si>
    <t>창고유지보수</t>
    <phoneticPr fontId="3" type="noConversion"/>
  </si>
  <si>
    <t>중, 장기 투자</t>
    <phoneticPr fontId="3" type="noConversion"/>
  </si>
  <si>
    <t>합계</t>
    <phoneticPr fontId="3" type="noConversion"/>
  </si>
  <si>
    <t>비고</t>
    <phoneticPr fontId="3" type="noConversion"/>
  </si>
  <si>
    <t>공통</t>
    <phoneticPr fontId="3" type="noConversion"/>
  </si>
  <si>
    <t>남양주</t>
    <phoneticPr fontId="3" type="noConversion"/>
  </si>
  <si>
    <t>김해</t>
    <phoneticPr fontId="3" type="noConversion"/>
  </si>
  <si>
    <t>논산</t>
    <phoneticPr fontId="3" type="noConversion"/>
  </si>
  <si>
    <t>광주</t>
    <phoneticPr fontId="3" type="noConversion"/>
  </si>
  <si>
    <t>식품연구소</t>
    <phoneticPr fontId="3" type="noConversion"/>
  </si>
  <si>
    <t>2. '26년 투자 세부리스트</t>
    <phoneticPr fontId="3" type="noConversion"/>
  </si>
  <si>
    <t>[ 단위 : 천원 ]</t>
    <phoneticPr fontId="3" type="noConversion"/>
  </si>
  <si>
    <t>투자명</t>
    <phoneticPr fontId="3" type="noConversion"/>
  </si>
  <si>
    <t>공장</t>
    <phoneticPr fontId="3" type="noConversion"/>
  </si>
  <si>
    <t>부서 (팀)</t>
    <phoneticPr fontId="3" type="noConversion"/>
  </si>
  <si>
    <t>투자코드</t>
    <phoneticPr fontId="3" type="noConversion"/>
  </si>
  <si>
    <t>'26년 계획 [ 최종案 ]</t>
    <phoneticPr fontId="3" type="noConversion"/>
  </si>
  <si>
    <t>품의금액</t>
    <phoneticPr fontId="3" type="noConversion"/>
  </si>
  <si>
    <t>완료보고</t>
    <phoneticPr fontId="3" type="noConversion"/>
  </si>
  <si>
    <t>투자일정</t>
    <phoneticPr fontId="3" type="noConversion"/>
  </si>
  <si>
    <t>추진일정</t>
    <phoneticPr fontId="3" type="noConversion"/>
  </si>
  <si>
    <t>투자구분</t>
    <phoneticPr fontId="3" type="noConversion"/>
  </si>
  <si>
    <t>부서</t>
    <phoneticPr fontId="3" type="noConversion"/>
  </si>
  <si>
    <t>유형</t>
    <phoneticPr fontId="3" type="noConversion"/>
  </si>
  <si>
    <t>코드</t>
    <phoneticPr fontId="3" type="noConversion"/>
  </si>
  <si>
    <t>자본적</t>
    <phoneticPr fontId="3" type="noConversion"/>
  </si>
  <si>
    <t>수익적</t>
    <phoneticPr fontId="3" type="noConversion"/>
  </si>
  <si>
    <t>計</t>
    <phoneticPr fontId="3" type="noConversion"/>
  </si>
  <si>
    <t>시작</t>
    <phoneticPr fontId="3" type="noConversion"/>
  </si>
  <si>
    <t>완료</t>
    <phoneticPr fontId="3" type="noConversion"/>
  </si>
  <si>
    <t>투자유형</t>
    <phoneticPr fontId="3" type="noConversion"/>
  </si>
  <si>
    <t>투자성격</t>
    <phoneticPr fontId="3" type="noConversion"/>
  </si>
  <si>
    <t xml:space="preserve"> 1) 남양주 _ 공장 유지보수</t>
    <phoneticPr fontId="3" type="noConversion"/>
  </si>
  <si>
    <t>전부서</t>
    <phoneticPr fontId="3" type="noConversion"/>
  </si>
  <si>
    <t>-</t>
    <phoneticPr fontId="3" type="noConversion"/>
  </si>
  <si>
    <t>26. 1. 1</t>
  </si>
  <si>
    <t>26. 10. 30</t>
  </si>
  <si>
    <t>유지보수</t>
    <phoneticPr fontId="3" type="noConversion"/>
  </si>
  <si>
    <t xml:space="preserve"> 2) 김해 _ 공장 유지보수</t>
    <phoneticPr fontId="3" type="noConversion"/>
  </si>
  <si>
    <t xml:space="preserve"> 3) 논산 _ 공장 유지보수</t>
    <phoneticPr fontId="3" type="noConversion"/>
  </si>
  <si>
    <t xml:space="preserve"> 4) 광주 _ 공장 유지보수</t>
    <phoneticPr fontId="3" type="noConversion"/>
  </si>
  <si>
    <t xml:space="preserve"> 5) 식품연구소 _ 공장 유지보수</t>
    <phoneticPr fontId="3" type="noConversion"/>
  </si>
  <si>
    <t>[ 공장유지보수 투자 ] 소계</t>
    <phoneticPr fontId="3" type="noConversion"/>
  </si>
  <si>
    <t>-</t>
  </si>
  <si>
    <t>□ 신, 증설 및 생산성향상</t>
    <phoneticPr fontId="3" type="noConversion"/>
  </si>
  <si>
    <t xml:space="preserve">     1) 고효율 설비 도입 및 생산성 향상</t>
    <phoneticPr fontId="3" type="noConversion"/>
  </si>
  <si>
    <t xml:space="preserve">          . 남양주3 암모니아 Booster 냉동기 교체 (일반 → 고효율)</t>
    <phoneticPr fontId="3" type="noConversion"/>
  </si>
  <si>
    <t>남양주</t>
  </si>
  <si>
    <t>공무팀</t>
  </si>
  <si>
    <t>955701</t>
  </si>
  <si>
    <t>AS009</t>
  </si>
  <si>
    <t>25.10.01</t>
  </si>
  <si>
    <t>26.05.30</t>
  </si>
  <si>
    <t>신,증설</t>
    <phoneticPr fontId="3" type="noConversion"/>
  </si>
  <si>
    <t>조기집행</t>
    <phoneticPr fontId="12" type="noConversion"/>
  </si>
  <si>
    <t xml:space="preserve">          . 남양주3  냉온수기 교체(2대)</t>
    <phoneticPr fontId="3" type="noConversion"/>
  </si>
  <si>
    <t>AS010</t>
  </si>
  <si>
    <t>26.02.01</t>
  </si>
  <si>
    <t>26.11.30</t>
  </si>
  <si>
    <t>유지보수</t>
  </si>
  <si>
    <t xml:space="preserve">          . 김해 심정 개발 (200Ton/일)</t>
    <phoneticPr fontId="3" type="noConversion"/>
  </si>
  <si>
    <t>김해</t>
  </si>
  <si>
    <t>공무환경팀</t>
  </si>
  <si>
    <t>AS011</t>
  </si>
  <si>
    <t>25. 11. 1</t>
  </si>
  <si>
    <t>25. 2. 1</t>
  </si>
  <si>
    <t>생산성향상</t>
  </si>
  <si>
    <t xml:space="preserve">          . Vita #2 누가바 20열 교체</t>
  </si>
  <si>
    <t>경산</t>
    <phoneticPr fontId="12" type="noConversion"/>
  </si>
  <si>
    <t>공무환경팀</t>
    <phoneticPr fontId="12" type="noConversion"/>
  </si>
  <si>
    <t>AS686</t>
    <phoneticPr fontId="12" type="noConversion"/>
  </si>
  <si>
    <t xml:space="preserve">     2) 전사 공정 합리화</t>
    <phoneticPr fontId="3" type="noConversion"/>
  </si>
  <si>
    <t xml:space="preserve">          . 전사 공정개선 </t>
    <phoneticPr fontId="3" type="noConversion"/>
  </si>
  <si>
    <t>전공장</t>
  </si>
  <si>
    <t>AS012</t>
  </si>
  <si>
    <t>'26. 1. 1</t>
  </si>
  <si>
    <t>'26. 10. 30</t>
  </si>
  <si>
    <t>생산성향상</t>
    <phoneticPr fontId="3" type="noConversion"/>
  </si>
  <si>
    <t xml:space="preserve">            └ 남양주 1공장 정문 Truck Scale 검교정 실시</t>
    <phoneticPr fontId="12" type="noConversion"/>
  </si>
  <si>
    <t>공무팀</t>
    <phoneticPr fontId="12" type="noConversion"/>
  </si>
  <si>
    <t>AS151</t>
    <phoneticPr fontId="12" type="noConversion"/>
  </si>
  <si>
    <t xml:space="preserve">            └ 광주 액화질소 가스 벌크 사용</t>
    <phoneticPr fontId="12" type="noConversion"/>
  </si>
  <si>
    <t>광주</t>
    <phoneticPr fontId="12" type="noConversion"/>
  </si>
  <si>
    <t>생산팀</t>
    <phoneticPr fontId="12" type="noConversion"/>
  </si>
  <si>
    <t>AS152</t>
  </si>
  <si>
    <t xml:space="preserve">            └ 	남양주1공장 탱크로리CIP작업장 자동셔터 철거 및 수동셔터 신규설치</t>
    <phoneticPr fontId="12" type="noConversion"/>
  </si>
  <si>
    <t>AS153</t>
  </si>
  <si>
    <t xml:space="preserve">            └ 논산공장 SERAC SIP 인입라인 공정 합리화</t>
    <phoneticPr fontId="12" type="noConversion"/>
  </si>
  <si>
    <t>논산</t>
    <phoneticPr fontId="12" type="noConversion"/>
  </si>
  <si>
    <t>AS154</t>
    <phoneticPr fontId="12" type="noConversion"/>
  </si>
  <si>
    <t xml:space="preserve">          . 김해 Vital #1 포장기 전기시스템 리뉴얼 (기판단종)</t>
    <phoneticPr fontId="3" type="noConversion"/>
  </si>
  <si>
    <t>AS013</t>
  </si>
  <si>
    <t>26. 1. 31</t>
  </si>
  <si>
    <t xml:space="preserve">          . 광주 CIP실 Hot Water 간접열교환 변경 및 고온환경 개선</t>
    <phoneticPr fontId="3" type="noConversion"/>
  </si>
  <si>
    <t>광주</t>
  </si>
  <si>
    <t>AS014</t>
  </si>
  <si>
    <t>26.01.01</t>
  </si>
  <si>
    <t>26.12.31</t>
  </si>
  <si>
    <t xml:space="preserve">          . Vital #5 메인 전기 판넬 이설</t>
  </si>
  <si>
    <t>AS687</t>
    <phoneticPr fontId="12" type="noConversion"/>
  </si>
  <si>
    <t xml:space="preserve">     3) 노후설비 교체 주요 개선</t>
    <phoneticPr fontId="3" type="noConversion"/>
  </si>
  <si>
    <t xml:space="preserve">          . 전사 MES 및 EMS 유지보수</t>
    <phoneticPr fontId="3" type="noConversion"/>
  </si>
  <si>
    <t>524403</t>
  </si>
  <si>
    <t>AS015</t>
  </si>
  <si>
    <t xml:space="preserve">          . 전사 주요설비 고장 대응 및 Spare Part 구입</t>
    <phoneticPr fontId="3" type="noConversion"/>
  </si>
  <si>
    <t>AS016</t>
  </si>
  <si>
    <t xml:space="preserve">          . 전사 운휴설비 철거 및 재배치</t>
    <phoneticPr fontId="3" type="noConversion"/>
  </si>
  <si>
    <t>AS017</t>
  </si>
  <si>
    <t xml:space="preserve">          . 전사 주요 공정 및 수입설비류 기술 교육</t>
    <phoneticPr fontId="3" type="noConversion"/>
  </si>
  <si>
    <t>AS018</t>
  </si>
  <si>
    <t xml:space="preserve">          . 협력업체 임대설비 유지보수 (설비 및 몰드)</t>
    <phoneticPr fontId="3" type="noConversion"/>
  </si>
  <si>
    <t>AS019</t>
  </si>
  <si>
    <t xml:space="preserve">          . 남양주공장 암모니아, 프레온 냉동기 리뉴얼</t>
    <phoneticPr fontId="3" type="noConversion"/>
  </si>
  <si>
    <t>AS020</t>
  </si>
  <si>
    <t xml:space="preserve">          . 남양주2 균질기 오버홀 (기어박스 업그레이드 반영)</t>
    <phoneticPr fontId="3" type="noConversion"/>
  </si>
  <si>
    <t>생산1팀</t>
  </si>
  <si>
    <t>AS021</t>
  </si>
  <si>
    <t>26.05.31</t>
  </si>
  <si>
    <t xml:space="preserve">           └ 남양주2균질기 Over-Haul</t>
    <phoneticPr fontId="12" type="noConversion"/>
  </si>
  <si>
    <t xml:space="preserve">          . 남양주1 테트라 균질기#1,5 정비 및 기어박스 업그레이드</t>
    <phoneticPr fontId="3" type="noConversion"/>
  </si>
  <si>
    <t>생산2팀</t>
  </si>
  <si>
    <t>AS022</t>
  </si>
  <si>
    <t>26.10.30</t>
  </si>
  <si>
    <t xml:space="preserve">          . 남양주2,3 EXTRACT BAR 교체 스페어 확보</t>
    <phoneticPr fontId="3" type="noConversion"/>
  </si>
  <si>
    <t>AS023</t>
  </si>
  <si>
    <t>26.03.01</t>
  </si>
  <si>
    <t xml:space="preserve">          . 김해 냉동기 및 공압기 Over-Haul (각 1대)</t>
    <phoneticPr fontId="3" type="noConversion"/>
  </si>
  <si>
    <t>AS024</t>
  </si>
  <si>
    <t>26.04.30</t>
  </si>
  <si>
    <t xml:space="preserve">            └ 냉동기#11-2 오버홀</t>
    <phoneticPr fontId="12" type="noConversion"/>
  </si>
  <si>
    <t xml:space="preserve">            └ 공압기#13-2 오버홀</t>
    <phoneticPr fontId="12" type="noConversion"/>
  </si>
  <si>
    <t xml:space="preserve">          . 논산 폐수처리장 탈수기 교체</t>
    <phoneticPr fontId="3" type="noConversion"/>
  </si>
  <si>
    <t>논산</t>
  </si>
  <si>
    <t>AS025</t>
  </si>
  <si>
    <t xml:space="preserve">          . 논산 슈퍼콘 패킹라인 서보드라이브 교체</t>
    <phoneticPr fontId="3" type="noConversion"/>
  </si>
  <si>
    <t>AS026</t>
  </si>
  <si>
    <t>조기집행</t>
  </si>
  <si>
    <t>27.03.30</t>
  </si>
  <si>
    <t xml:space="preserve">          . 논산 고과당 저장탱크 교체</t>
    <phoneticPr fontId="3" type="noConversion"/>
  </si>
  <si>
    <t>AS027</t>
  </si>
  <si>
    <t>품질개선</t>
    <phoneticPr fontId="3" type="noConversion"/>
  </si>
  <si>
    <t xml:space="preserve">          . 광주 토핑 트리밍툴 Over-Haul  및 정비용 부품 구입</t>
    <phoneticPr fontId="3" type="noConversion"/>
  </si>
  <si>
    <t>AS028</t>
  </si>
  <si>
    <t>26.09.30</t>
  </si>
  <si>
    <t xml:space="preserve">          . 광주 스낵 GF-600 정비용 부품 구입</t>
    <phoneticPr fontId="3" type="noConversion"/>
  </si>
  <si>
    <t>AS029</t>
  </si>
  <si>
    <t xml:space="preserve">            └ 스낵 GF-600 정비용 부품 구입</t>
    <phoneticPr fontId="12" type="noConversion"/>
  </si>
  <si>
    <t xml:space="preserve">            └ 광주 스낵 GF-600 정비용 부품 구매(히팅자켓 국산화)</t>
    <phoneticPr fontId="12" type="noConversion"/>
  </si>
  <si>
    <t xml:space="preserve">            └ 광주 스낵 GF-600 정비용 부품 구매(소모성 부품)</t>
    <phoneticPr fontId="12" type="noConversion"/>
  </si>
  <si>
    <t xml:space="preserve">          . 광주 분유설비 정기 유지보수 (크림분리기. 아토마이저)</t>
    <phoneticPr fontId="3" type="noConversion"/>
  </si>
  <si>
    <t>생산팀</t>
  </si>
  <si>
    <t>AS030</t>
  </si>
  <si>
    <t>26.04.01</t>
  </si>
  <si>
    <t xml:space="preserve">          . 광주 성형설비 외산 부품 구입 </t>
    <phoneticPr fontId="3" type="noConversion"/>
  </si>
  <si>
    <t>AS031</t>
  </si>
  <si>
    <t xml:space="preserve">            └ 바나나성형기 주요 설비 구입</t>
    <phoneticPr fontId="12" type="noConversion"/>
  </si>
  <si>
    <t xml:space="preserve">            └ 바나나성형기 주요 설비 구입(원격시스템 구독 패키지)</t>
    <phoneticPr fontId="12" type="noConversion"/>
  </si>
  <si>
    <t xml:space="preserve">            └ 바나나성형기 주요 설비 구입(제어용 산업용 PC)</t>
    <phoneticPr fontId="12" type="noConversion"/>
  </si>
  <si>
    <t xml:space="preserve">          . 광주 스낵 설비 보완</t>
    <phoneticPr fontId="3" type="noConversion"/>
  </si>
  <si>
    <t>AS032</t>
  </si>
  <si>
    <t xml:space="preserve">            └ 스낵 설비 보완</t>
    <phoneticPr fontId="12" type="noConversion"/>
  </si>
  <si>
    <t xml:space="preserve">            └ 스낵 BP#2 히팅컨베이어 구동부 자체 개선 공사</t>
    <phoneticPr fontId="12" type="noConversion"/>
  </si>
  <si>
    <t xml:space="preserve">            └ 스낵 파칭기#2 미부기 부품 제작/교체</t>
    <phoneticPr fontId="12" type="noConversion"/>
  </si>
  <si>
    <t xml:space="preserve">            └ 스낵 프리드라이어 3호기 8단 제작 및 완제품 이송 CV 체인 구매</t>
    <phoneticPr fontId="12" type="noConversion"/>
  </si>
  <si>
    <t xml:space="preserve">          . Eva-Con #9, 10 교체</t>
  </si>
  <si>
    <t>AS688</t>
    <phoneticPr fontId="12" type="noConversion"/>
  </si>
  <si>
    <t xml:space="preserve">          . 아이스머신 컴프레셔 교체</t>
  </si>
  <si>
    <t>AS689</t>
  </si>
  <si>
    <t xml:space="preserve">          . QFT #3 교체 진행 (전체 Over-Haul)</t>
  </si>
  <si>
    <t>AS690</t>
  </si>
  <si>
    <t xml:space="preserve">          . 화물 승강기 #2 부분교체</t>
  </si>
  <si>
    <t>AS691</t>
  </si>
  <si>
    <t xml:space="preserve"> □ 품질개선</t>
    <phoneticPr fontId="3" type="noConversion"/>
  </si>
  <si>
    <t xml:space="preserve">     1) 전사 품질개선</t>
    <phoneticPr fontId="3" type="noConversion"/>
  </si>
  <si>
    <t xml:space="preserve">          . 전사 품질개선</t>
    <phoneticPr fontId="3" type="noConversion"/>
  </si>
  <si>
    <t>AS033</t>
  </si>
  <si>
    <t>품질개선</t>
  </si>
  <si>
    <t xml:space="preserve">            └ 김해공장_바나나공병 플라스틱 박스 구입</t>
    <phoneticPr fontId="12" type="noConversion"/>
  </si>
  <si>
    <t>김해</t>
    <phoneticPr fontId="12" type="noConversion"/>
  </si>
  <si>
    <t>생산2팀</t>
    <phoneticPr fontId="12" type="noConversion"/>
  </si>
  <si>
    <t>AS341</t>
    <phoneticPr fontId="12" type="noConversion"/>
  </si>
  <si>
    <t xml:space="preserve">            └ 남양주2공장 콘라인 박스 X-RAY 설치</t>
    <phoneticPr fontId="12" type="noConversion"/>
  </si>
  <si>
    <t>생산1팀</t>
    <phoneticPr fontId="12" type="noConversion"/>
  </si>
  <si>
    <t>AS342</t>
    <phoneticPr fontId="12" type="noConversion"/>
  </si>
  <si>
    <t xml:space="preserve">            └ 전사 X-Ray Spare Part 구입</t>
    <phoneticPr fontId="12" type="noConversion"/>
  </si>
  <si>
    <t>본부</t>
    <phoneticPr fontId="12" type="noConversion"/>
  </si>
  <si>
    <t>생산기술팀</t>
    <phoneticPr fontId="12" type="noConversion"/>
  </si>
  <si>
    <t>AS343</t>
    <phoneticPr fontId="12" type="noConversion"/>
  </si>
  <si>
    <t xml:space="preserve">            └ 논산공장_UHT(THE) Gasket 전량 교체</t>
    <phoneticPr fontId="12" type="noConversion"/>
  </si>
  <si>
    <t>AS344</t>
    <phoneticPr fontId="12" type="noConversion"/>
  </si>
  <si>
    <t xml:space="preserve">            └ 광주공장_스낵 금속검출기 설치</t>
    <phoneticPr fontId="12" type="noConversion"/>
  </si>
  <si>
    <t>AS345</t>
    <phoneticPr fontId="12" type="noConversion"/>
  </si>
  <si>
    <t xml:space="preserve">          . 전사 생산현장 공조 개선</t>
    <phoneticPr fontId="3" type="noConversion"/>
  </si>
  <si>
    <t>AS034</t>
  </si>
  <si>
    <t xml:space="preserve">          . 전사 PLC &amp; HMI 공정 보완</t>
    <phoneticPr fontId="3" type="noConversion"/>
  </si>
  <si>
    <t>AS035</t>
  </si>
  <si>
    <t xml:space="preserve">            └ 전사 PLC &amp; HMI 공정 보완</t>
    <phoneticPr fontId="3" type="noConversion"/>
  </si>
  <si>
    <t>272000</t>
    <phoneticPr fontId="3" type="noConversion"/>
  </si>
  <si>
    <t xml:space="preserve">            └ 김해 PLC &amp; HMI 보완</t>
    <phoneticPr fontId="3" type="noConversion"/>
  </si>
  <si>
    <t>8000</t>
    <phoneticPr fontId="3" type="noConversion"/>
  </si>
  <si>
    <t>10000</t>
    <phoneticPr fontId="3" type="noConversion"/>
  </si>
  <si>
    <t xml:space="preserve">            └ 논산 PLC &amp; HMI 보완</t>
    <phoneticPr fontId="3" type="noConversion"/>
  </si>
  <si>
    <t xml:space="preserve">          . 전사 Fool-Proof 시스템 보완</t>
    <phoneticPr fontId="3" type="noConversion"/>
  </si>
  <si>
    <t>AS036</t>
  </si>
  <si>
    <t xml:space="preserve">            └ 김해 바이오플레 전처리 Fool proof 시스템 보완</t>
    <phoneticPr fontId="12" type="noConversion"/>
  </si>
  <si>
    <t>AS441</t>
    <phoneticPr fontId="12" type="noConversion"/>
  </si>
  <si>
    <t xml:space="preserve">          . 전사 살균기 Plate 및 Gasket 교체</t>
    <phoneticPr fontId="3" type="noConversion"/>
  </si>
  <si>
    <t xml:space="preserve">            └ 남양주 MY 살균기 Plate Gasket 전량 교체</t>
    <phoneticPr fontId="3" type="noConversion"/>
  </si>
  <si>
    <t>공통(기이관)</t>
    <phoneticPr fontId="3" type="noConversion"/>
  </si>
  <si>
    <t>생산2팀</t>
    <phoneticPr fontId="3" type="noConversion"/>
  </si>
  <si>
    <t>AS037</t>
  </si>
  <si>
    <t>26.07.31</t>
  </si>
  <si>
    <t xml:space="preserve">            └ 남양주 IC 살균기 Plate Gasket 전량 교체</t>
    <phoneticPr fontId="3" type="noConversion"/>
  </si>
  <si>
    <t>생산1팀</t>
    <phoneticPr fontId="3" type="noConversion"/>
  </si>
  <si>
    <t>AS038</t>
  </si>
  <si>
    <t xml:space="preserve">                └ IC 살균기 Plate Gasket 전량 교체-1</t>
    <phoneticPr fontId="12" type="noConversion"/>
  </si>
  <si>
    <t xml:space="preserve">                └ 남양주 IC 살균기(PI) Plate 및 Gasket 확보</t>
    <phoneticPr fontId="12" type="noConversion"/>
  </si>
  <si>
    <t xml:space="preserve">            └ 논산 IC 살균기 Plate Gasket 전량 교체</t>
    <phoneticPr fontId="3" type="noConversion"/>
  </si>
  <si>
    <t>생산팀</t>
    <phoneticPr fontId="3" type="noConversion"/>
  </si>
  <si>
    <t>AS039</t>
  </si>
  <si>
    <t xml:space="preserve">            └ 광주 살균, 냉각 PHE 정기 교체 관리</t>
    <phoneticPr fontId="3" type="noConversion"/>
  </si>
  <si>
    <t>AS040</t>
  </si>
  <si>
    <t xml:space="preserve">          . 남양주 공조설비 유지보수</t>
    <phoneticPr fontId="3" type="noConversion"/>
  </si>
  <si>
    <t xml:space="preserve">            └ 남양주1 공조 유지보수</t>
    <phoneticPr fontId="3" type="noConversion"/>
  </si>
  <si>
    <t>AS041</t>
  </si>
  <si>
    <t xml:space="preserve">            └ 남양주2,3 공조설비 유지보수</t>
    <phoneticPr fontId="3" type="noConversion"/>
  </si>
  <si>
    <t>AS042</t>
  </si>
  <si>
    <t xml:space="preserve">            └ 남양주3 공조설비 유지보수</t>
    <phoneticPr fontId="3" type="noConversion"/>
  </si>
  <si>
    <t>AS043</t>
  </si>
  <si>
    <t xml:space="preserve">            └ 남양주3공장_공조기 필터 교체 투자 승인신청</t>
    <phoneticPr fontId="12" type="noConversion"/>
  </si>
  <si>
    <t xml:space="preserve">          . 남양주1 청정유 라인 원유 정체 개선</t>
    <phoneticPr fontId="3" type="noConversion"/>
  </si>
  <si>
    <t>AS044</t>
  </si>
  <si>
    <t xml:space="preserve">          . 김해 컵설비 품질개선</t>
    <phoneticPr fontId="3" type="noConversion"/>
  </si>
  <si>
    <t>AS045</t>
  </si>
  <si>
    <t xml:space="preserve">            └ 컵설비 품질개선 (1차)</t>
    <phoneticPr fontId="12" type="noConversion"/>
  </si>
  <si>
    <t xml:space="preserve">            └ 컵설비 품질개선 (2차)</t>
    <phoneticPr fontId="12" type="noConversion"/>
  </si>
  <si>
    <t xml:space="preserve">          . 김해 테트라 포장설비 TPPC 정비 (1,2호기, TPA)</t>
    <phoneticPr fontId="3" type="noConversion"/>
  </si>
  <si>
    <t>AS046</t>
  </si>
  <si>
    <t>26.10.31</t>
  </si>
  <si>
    <t xml:space="preserve">          . 김해 멸균 설비 Gasket 교체</t>
    <phoneticPr fontId="3" type="noConversion"/>
  </si>
  <si>
    <t>AS047</t>
  </si>
  <si>
    <t xml:space="preserve">          . 김해 테트라 1호기 박스 X-Ray 및 중량선별기 설치</t>
    <phoneticPr fontId="3" type="noConversion"/>
  </si>
  <si>
    <t>AS048</t>
  </si>
  <si>
    <t xml:space="preserve">          . 김해 공조필터 유지보수 및 시유포장 메인덕트 교체 </t>
    <phoneticPr fontId="3" type="noConversion"/>
  </si>
  <si>
    <t>AS049</t>
  </si>
  <si>
    <t xml:space="preserve">            └ 공조필터 교체</t>
    <phoneticPr fontId="12" type="noConversion"/>
  </si>
  <si>
    <t xml:space="preserve">            └ 시유포장공조기 급기덕트 교체</t>
    <phoneticPr fontId="12" type="noConversion"/>
  </si>
  <si>
    <t xml:space="preserve">          . 김해 IC X-RAY 유지보수</t>
    <phoneticPr fontId="3" type="noConversion"/>
  </si>
  <si>
    <t>AS050</t>
  </si>
  <si>
    <t xml:space="preserve">            └ 김해 IC X-RAY 유지보수</t>
    <phoneticPr fontId="12" type="noConversion"/>
  </si>
  <si>
    <t xml:space="preserve">          . 김해 바이탈 Extractor bar Blade 교체</t>
    <phoneticPr fontId="3" type="noConversion"/>
  </si>
  <si>
    <t>AS051</t>
  </si>
  <si>
    <t xml:space="preserve">          . 김해 IC 노후 열전사 프린터 교체 (6대)</t>
    <phoneticPr fontId="3" type="noConversion"/>
  </si>
  <si>
    <t>AS052</t>
  </si>
  <si>
    <t xml:space="preserve">            └ IC 노후 열전사 프린터 교체</t>
    <phoneticPr fontId="12" type="noConversion"/>
  </si>
  <si>
    <t xml:space="preserve">          . 김해 설탕 사일로탱크 트윈호퍼 교체</t>
    <phoneticPr fontId="3" type="noConversion"/>
  </si>
  <si>
    <t>AS053</t>
  </si>
  <si>
    <t>25.11.01</t>
  </si>
  <si>
    <t>26.01.31</t>
  </si>
  <si>
    <t xml:space="preserve">          . 김해 IC 균질기 크랭크 샤프트 교체</t>
    <phoneticPr fontId="3" type="noConversion"/>
  </si>
  <si>
    <t>AS054</t>
  </si>
  <si>
    <t xml:space="preserve">          . 김해 크레이트 이송 SYSTEM 체인 교체</t>
    <phoneticPr fontId="3" type="noConversion"/>
  </si>
  <si>
    <t>AS055</t>
  </si>
  <si>
    <t>26.02.02</t>
  </si>
  <si>
    <t>26.09.31</t>
  </si>
  <si>
    <t xml:space="preserve">          . 김해 유음료 전처리 Plate Gasket 교체 및 핀홀 점검</t>
    <phoneticPr fontId="3" type="noConversion"/>
  </si>
  <si>
    <t>AS056</t>
  </si>
  <si>
    <t xml:space="preserve">             └ 유음료 전처리 Plate Gasket 교체 및 핀홀 점검</t>
    <phoneticPr fontId="12" type="noConversion"/>
  </si>
  <si>
    <t xml:space="preserve">          . 김해 IC 전처리 Plate Gasket 교체 및 핀홀 점검</t>
    <phoneticPr fontId="3" type="noConversion"/>
  </si>
  <si>
    <t>AS057</t>
  </si>
  <si>
    <t xml:space="preserve">            └ IC 전처리 Plate Gasket 교체 및 핀홀 점검</t>
    <phoneticPr fontId="12" type="noConversion"/>
  </si>
  <si>
    <t xml:space="preserve">          . 논산 Vital #1 스틱인서터 오버홀 (114)</t>
    <phoneticPr fontId="3" type="noConversion"/>
  </si>
  <si>
    <t>AS058</t>
  </si>
  <si>
    <t xml:space="preserve">          . 논산 X-RAY 검출기 Spare part 구매</t>
    <phoneticPr fontId="3" type="noConversion"/>
  </si>
  <si>
    <t>AS059</t>
  </si>
  <si>
    <t xml:space="preserve">            └ Vital #1 X-Ray 디텍터 교체</t>
    <phoneticPr fontId="12" type="noConversion"/>
  </si>
  <si>
    <t xml:space="preserve">            └ 논산공장 X-ray 검출기 Spare part 구입</t>
    <phoneticPr fontId="12" type="noConversion"/>
  </si>
  <si>
    <t xml:space="preserve">     2) 전사 HACCP 유지보수</t>
    <phoneticPr fontId="3" type="noConversion"/>
  </si>
  <si>
    <t xml:space="preserve">          . 남양주 HACCP 유지보수</t>
    <phoneticPr fontId="3" type="noConversion"/>
  </si>
  <si>
    <t>품질보증팀</t>
  </si>
  <si>
    <t>AS060</t>
  </si>
  <si>
    <t xml:space="preserve">            └ 생산2팀 출입구 에어샤워룸 보수 및 손소독기 교체</t>
    <phoneticPr fontId="12" type="noConversion"/>
  </si>
  <si>
    <t xml:space="preserve">            └ 남양주공장 위생 취약개소 개선</t>
    <phoneticPr fontId="12" type="noConversion"/>
  </si>
  <si>
    <t xml:space="preserve">            └ 1공장 스토퍼 교정작업</t>
    <phoneticPr fontId="12" type="noConversion"/>
  </si>
  <si>
    <t xml:space="preserve">          . 김해 HACCP 유지보수비</t>
    <phoneticPr fontId="3" type="noConversion"/>
  </si>
  <si>
    <t>AS061</t>
  </si>
  <si>
    <t xml:space="preserve">          . 논산 HACCP유지보수</t>
    <phoneticPr fontId="3" type="noConversion"/>
  </si>
  <si>
    <t>AS062</t>
  </si>
  <si>
    <t xml:space="preserve">             └ 유음료 현장 에어샤워룸 이오나이저 설치</t>
    <phoneticPr fontId="12" type="noConversion"/>
  </si>
  <si>
    <t xml:space="preserve">             └ IC 현장 폐기물 반출구 샷시 설치 공사</t>
    <phoneticPr fontId="12" type="noConversion"/>
  </si>
  <si>
    <t xml:space="preserve">             └ 휴대용 정전기 측정기 구매</t>
    <phoneticPr fontId="12" type="noConversion"/>
  </si>
  <si>
    <t xml:space="preserve">          . 광주 HACCP 및 GMP 유지보수</t>
    <phoneticPr fontId="3" type="noConversion"/>
  </si>
  <si>
    <t>AS063</t>
  </si>
  <si>
    <t xml:space="preserve">          . 공조기용 냉동기 (20HP) 2대 및 유니트쿨러 2대 설치</t>
    <phoneticPr fontId="12" type="noConversion"/>
  </si>
  <si>
    <t>AS692</t>
    <phoneticPr fontId="12" type="noConversion"/>
  </si>
  <si>
    <t xml:space="preserve">          . 경산 HACCP 유지보수</t>
    <phoneticPr fontId="12" type="noConversion"/>
  </si>
  <si>
    <t>AS693</t>
  </si>
  <si>
    <t xml:space="preserve">          . 유지방 분석기 구입</t>
    <phoneticPr fontId="12" type="noConversion"/>
  </si>
  <si>
    <t>AS694</t>
  </si>
  <si>
    <t>□ 자동화, 성력화</t>
    <phoneticPr fontId="3" type="noConversion"/>
  </si>
  <si>
    <t xml:space="preserve">     1) 전사 자동화, 성력화</t>
    <phoneticPr fontId="3" type="noConversion"/>
  </si>
  <si>
    <t xml:space="preserve">          . 전사 공정 자동화 투자</t>
    <phoneticPr fontId="3" type="noConversion"/>
  </si>
  <si>
    <t>AS064</t>
  </si>
  <si>
    <t>자동화</t>
    <phoneticPr fontId="3" type="noConversion"/>
  </si>
  <si>
    <t xml:space="preserve">          . 논산 Vital 포장 자동화 (멀티 카톤 or 담기)</t>
    <phoneticPr fontId="3" type="noConversion"/>
  </si>
  <si>
    <t>공무환경팀</t>
    <phoneticPr fontId="3" type="noConversion"/>
  </si>
  <si>
    <t>AS065</t>
  </si>
  <si>
    <t xml:space="preserve">     2) 전사 주요 공정 설비 직영 제작</t>
    <phoneticPr fontId="3" type="noConversion"/>
  </si>
  <si>
    <t>AS066</t>
  </si>
  <si>
    <t xml:space="preserve">     3) 탱크보이 튜브 공급 자동화</t>
    <phoneticPr fontId="12" type="noConversion"/>
  </si>
  <si>
    <t>AS695</t>
    <phoneticPr fontId="12" type="noConversion"/>
  </si>
  <si>
    <t xml:space="preserve"> □ 차량 운반구</t>
    <phoneticPr fontId="3" type="noConversion"/>
  </si>
  <si>
    <t xml:space="preserve"> □ 법적보완</t>
    <phoneticPr fontId="3" type="noConversion"/>
  </si>
  <si>
    <t xml:space="preserve">     1) 전사 화학물질관리법 대응</t>
    <phoneticPr fontId="3" type="noConversion"/>
  </si>
  <si>
    <t xml:space="preserve">          . 남양주 화학물질관리법 대응</t>
    <phoneticPr fontId="3" type="noConversion"/>
  </si>
  <si>
    <t>환경안전팀</t>
    <phoneticPr fontId="3" type="noConversion"/>
  </si>
  <si>
    <t>AS067</t>
  </si>
  <si>
    <t>법적보완</t>
  </si>
  <si>
    <t xml:space="preserve">            └ 남양주2공장_유해화학물질 보관소 개선 공사 건</t>
    <phoneticPr fontId="12" type="noConversion"/>
  </si>
  <si>
    <t xml:space="preserve">          . 논산 화학물질관리법 대응</t>
    <phoneticPr fontId="3" type="noConversion"/>
  </si>
  <si>
    <t>AS068</t>
  </si>
  <si>
    <t>26.01.01</t>
    <phoneticPr fontId="3" type="noConversion"/>
  </si>
  <si>
    <t>26.12.31</t>
    <phoneticPr fontId="3" type="noConversion"/>
  </si>
  <si>
    <t xml:space="preserve">          . 광주 화학물질관리법 대응</t>
    <phoneticPr fontId="3" type="noConversion"/>
  </si>
  <si>
    <t>AS069</t>
  </si>
  <si>
    <t xml:space="preserve">     2) 고압가스 제조시설 개선</t>
    <phoneticPr fontId="3" type="noConversion"/>
  </si>
  <si>
    <t xml:space="preserve">          . 전사 고압가스 제조시설 개선</t>
    <phoneticPr fontId="3" type="noConversion"/>
  </si>
  <si>
    <t>AS070</t>
  </si>
  <si>
    <t>안전</t>
    <phoneticPr fontId="3" type="noConversion"/>
  </si>
  <si>
    <t xml:space="preserve">            └ 김해공장_에바콘#4 FAN 교체 (4SET)</t>
    <phoneticPr fontId="12" type="noConversion"/>
  </si>
  <si>
    <t>AS681</t>
    <phoneticPr fontId="12" type="noConversion"/>
  </si>
  <si>
    <t xml:space="preserve">          . 남양주2 프레온 콘덴서 교체</t>
    <phoneticPr fontId="3" type="noConversion"/>
  </si>
  <si>
    <t>공무팀</t>
    <phoneticPr fontId="3" type="noConversion"/>
  </si>
  <si>
    <t>AS071</t>
  </si>
  <si>
    <t xml:space="preserve">          . 광주 칠러 #1 (클래식 쿨링터널용) 노후교체</t>
    <phoneticPr fontId="3" type="noConversion"/>
  </si>
  <si>
    <t>AS072</t>
  </si>
  <si>
    <t>26.01</t>
  </si>
  <si>
    <t>26.12</t>
  </si>
  <si>
    <t xml:space="preserve">          . PSM 컨설팅</t>
  </si>
  <si>
    <t>AS696</t>
    <phoneticPr fontId="12" type="noConversion"/>
  </si>
  <si>
    <t xml:space="preserve">          . 암모니아 노후 배관 교체</t>
  </si>
  <si>
    <t>AS697</t>
    <phoneticPr fontId="12" type="noConversion"/>
  </si>
  <si>
    <t xml:space="preserve">     3) 환경, 안전, 보건개선</t>
    <phoneticPr fontId="3" type="noConversion"/>
  </si>
  <si>
    <t xml:space="preserve">          . 전사 환경, 안전, 보건 개선</t>
    <phoneticPr fontId="3" type="noConversion"/>
  </si>
  <si>
    <t>AS073</t>
  </si>
  <si>
    <t xml:space="preserve">            └ 논산공장_생산동 2층 냉난방기 설치</t>
    <phoneticPr fontId="12" type="noConversion"/>
  </si>
  <si>
    <t>총무팀</t>
    <phoneticPr fontId="12" type="noConversion"/>
  </si>
  <si>
    <t>AS491</t>
    <phoneticPr fontId="12" type="noConversion"/>
  </si>
  <si>
    <t xml:space="preserve">            └ 경산공장 현장 안전진단 컨설팅</t>
    <phoneticPr fontId="12" type="noConversion"/>
  </si>
  <si>
    <t>AS492</t>
    <phoneticPr fontId="12" type="noConversion"/>
  </si>
  <si>
    <t xml:space="preserve">            └ 논산공장 샌드필터 Over-Haul</t>
    <phoneticPr fontId="12" type="noConversion"/>
  </si>
  <si>
    <t>AS493</t>
    <phoneticPr fontId="12" type="noConversion"/>
  </si>
  <si>
    <t xml:space="preserve">            └ 광주공장_광주 성형반 분쇄기 인허가 합리화</t>
    <phoneticPr fontId="12" type="noConversion"/>
  </si>
  <si>
    <t>AS494</t>
    <phoneticPr fontId="12" type="noConversion"/>
  </si>
  <si>
    <t xml:space="preserve">            └ 남양주1공장_계근대 배수로 개선 투자 승인신청</t>
    <phoneticPr fontId="12" type="noConversion"/>
  </si>
  <si>
    <t>남양주</t>
    <phoneticPr fontId="12" type="noConversion"/>
  </si>
  <si>
    <t>AS495</t>
    <phoneticPr fontId="12" type="noConversion"/>
  </si>
  <si>
    <t xml:space="preserve">          . 남양주3 야쟈유 탱크 설치</t>
    <phoneticPr fontId="3" type="noConversion"/>
  </si>
  <si>
    <t>AS074</t>
  </si>
  <si>
    <t>안전</t>
  </si>
  <si>
    <t xml:space="preserve">          . 남양주 안전 위험 개소 개선</t>
    <phoneticPr fontId="3" type="noConversion"/>
  </si>
  <si>
    <t>환경안전팀</t>
  </si>
  <si>
    <t>AS075</t>
  </si>
  <si>
    <t xml:space="preserve">            └ 중대재해 위험개소 개선</t>
    <phoneticPr fontId="12" type="noConversion"/>
  </si>
  <si>
    <t xml:space="preserve">          . 남양주 폐수처리장 MBR 부분 교체 </t>
    <phoneticPr fontId="3" type="noConversion"/>
  </si>
  <si>
    <t>AS076</t>
  </si>
  <si>
    <t>26.06.30</t>
  </si>
  <si>
    <t xml:space="preserve">          . 남양주3 발효유 CIP-1실 튜블라 이설</t>
    <phoneticPr fontId="3" type="noConversion"/>
  </si>
  <si>
    <t>생산3팀</t>
  </si>
  <si>
    <t>AS077</t>
  </si>
  <si>
    <t xml:space="preserve">          . 남양주 복지환경개선투자</t>
    <phoneticPr fontId="3" type="noConversion"/>
  </si>
  <si>
    <t>총무팀</t>
  </si>
  <si>
    <t>AS078</t>
  </si>
  <si>
    <t xml:space="preserve">          . 김해 안전시설 개선</t>
    <phoneticPr fontId="3" type="noConversion"/>
  </si>
  <si>
    <t>AS079</t>
  </si>
  <si>
    <t xml:space="preserve">            └ 안전 불합리 개선</t>
    <phoneticPr fontId="12" type="noConversion"/>
  </si>
  <si>
    <t xml:space="preserve">          . 논산 안전시설 개선</t>
    <phoneticPr fontId="3" type="noConversion"/>
  </si>
  <si>
    <t>AS080</t>
  </si>
  <si>
    <t xml:space="preserve">          . 논산 공장 건, 구축물 인프라 보완</t>
    <phoneticPr fontId="3" type="noConversion"/>
  </si>
  <si>
    <t>총무팀</t>
    <phoneticPr fontId="3" type="noConversion"/>
  </si>
  <si>
    <t>AS081</t>
  </si>
  <si>
    <t>26.01.22.</t>
  </si>
  <si>
    <t>환경개선</t>
  </si>
  <si>
    <t xml:space="preserve">            └ 논산공장 건,구축물 인프라 보완_옥상 배수로 설치 공사, IC 생산동 옥상 지붕 설치 공사</t>
    <phoneticPr fontId="12" type="noConversion"/>
  </si>
  <si>
    <t xml:space="preserve">            └ 건,구축물 인프라 보완_공장 주변 배수로 정비</t>
    <phoneticPr fontId="12" type="noConversion"/>
  </si>
  <si>
    <t xml:space="preserve">          . 광주 안전개선 투자</t>
    <phoneticPr fontId="3" type="noConversion"/>
  </si>
  <si>
    <t>AS082</t>
  </si>
  <si>
    <t xml:space="preserve">            └ 소방안전 개선 공사(스마트CAM 불꽃감지기 설치, 소방설비 유지보수 및 구매 )</t>
    <phoneticPr fontId="12" type="noConversion"/>
  </si>
  <si>
    <t xml:space="preserve">            └ 소방시설 안전개선 공사(소화활동설비 및 경보설비 보완)</t>
    <phoneticPr fontId="12" type="noConversion"/>
  </si>
  <si>
    <t xml:space="preserve">          . 광주 폐수처리장 혼화조 바닥 보강작업</t>
    <phoneticPr fontId="3" type="noConversion"/>
  </si>
  <si>
    <t>AS083</t>
  </si>
  <si>
    <t xml:space="preserve">          . 폐수처리 설비 보완</t>
  </si>
  <si>
    <t>AS698</t>
    <phoneticPr fontId="12" type="noConversion"/>
  </si>
  <si>
    <t xml:space="preserve">          . 생산현장 오픈배수로 설치</t>
  </si>
  <si>
    <t>AS699</t>
  </si>
  <si>
    <t xml:space="preserve">          . 환경, 보건 개선</t>
  </si>
  <si>
    <t>AS700</t>
  </si>
  <si>
    <t xml:space="preserve">             └ 냉열실 저압수액기 지하비트 바닥 보수 공사</t>
    <phoneticPr fontId="12" type="noConversion"/>
  </si>
  <si>
    <t xml:space="preserve">     4) 전기, 소방설비개선</t>
    <phoneticPr fontId="3" type="noConversion"/>
  </si>
  <si>
    <t xml:space="preserve">          . 전사 전기, 소방설비 개선</t>
    <phoneticPr fontId="3" type="noConversion"/>
  </si>
  <si>
    <t>AS084</t>
  </si>
  <si>
    <t xml:space="preserve">          . 전사 불용 Cable 철거 및 트레이 분배</t>
    <phoneticPr fontId="3" type="noConversion"/>
  </si>
  <si>
    <t>AS085</t>
  </si>
  <si>
    <t xml:space="preserve">          . 전사 EPS 판넬 교체</t>
    <phoneticPr fontId="3" type="noConversion"/>
  </si>
  <si>
    <t>AS086</t>
  </si>
  <si>
    <t xml:space="preserve">          . 남양주3 노후 변압기(4대) 교체</t>
    <phoneticPr fontId="3" type="noConversion"/>
  </si>
  <si>
    <t>AS087</t>
  </si>
  <si>
    <t xml:space="preserve">          . 광주 노후 소방배관 교체 (스낵동)_1단계</t>
    <phoneticPr fontId="3" type="noConversion"/>
  </si>
  <si>
    <t>AS088</t>
  </si>
  <si>
    <t xml:space="preserve"> □ 온실가스 목표관리제 대응</t>
    <phoneticPr fontId="3" type="noConversion"/>
  </si>
  <si>
    <t xml:space="preserve">     1) 전사 온실가스 목표관리제 대응 (에너지 절감)</t>
    <phoneticPr fontId="3" type="noConversion"/>
  </si>
  <si>
    <t>AS089</t>
  </si>
  <si>
    <t>법적보완</t>
    <phoneticPr fontId="3" type="noConversion"/>
  </si>
  <si>
    <t xml:space="preserve">     2) 정부 지원사업 추진 (공압기, 폐열 등)</t>
    <phoneticPr fontId="3" type="noConversion"/>
  </si>
  <si>
    <t>AS090</t>
  </si>
  <si>
    <t xml:space="preserve">        └ 남양주1P_공압기 #2 (200HP) 교체</t>
    <phoneticPr fontId="12" type="noConversion"/>
  </si>
  <si>
    <t>AS631</t>
    <phoneticPr fontId="12" type="noConversion"/>
  </si>
  <si>
    <t xml:space="preserve">        └ 김해_공압기#13-1 노후교체</t>
    <phoneticPr fontId="12" type="noConversion"/>
  </si>
  <si>
    <t>AS632</t>
  </si>
  <si>
    <t xml:space="preserve">        └ 김해_사무동 옥상 태양광판넬 증설</t>
    <phoneticPr fontId="12" type="noConversion"/>
  </si>
  <si>
    <t>AS633</t>
  </si>
  <si>
    <t xml:space="preserve">        └ 논산_신축 자재창고 태양광 (30.96kw) 설치</t>
    <phoneticPr fontId="12" type="noConversion"/>
  </si>
  <si>
    <t>AS634</t>
  </si>
  <si>
    <t xml:space="preserve">     3) 경산 에너지 절감 개선</t>
    <phoneticPr fontId="12" type="noConversion"/>
  </si>
  <si>
    <t>AS701</t>
    <phoneticPr fontId="12" type="noConversion"/>
  </si>
  <si>
    <t xml:space="preserve">        └ 냉동창고 프레온 냉동기 효율개선 투자</t>
    <phoneticPr fontId="12" type="noConversion"/>
  </si>
  <si>
    <t>[ 개선투자 ] 소계</t>
    <phoneticPr fontId="3" type="noConversion"/>
  </si>
  <si>
    <t xml:space="preserve"> 1) 전사 _ 창고 물류 합리화</t>
    <phoneticPr fontId="3" type="noConversion"/>
  </si>
  <si>
    <t>AS091</t>
  </si>
  <si>
    <t>창고유지보수</t>
  </si>
  <si>
    <t xml:space="preserve"> 1) 남양주 창고 내, 외 바닥 파손 유지보수</t>
    <phoneticPr fontId="3" type="noConversion"/>
  </si>
  <si>
    <t>AS092</t>
  </si>
  <si>
    <t xml:space="preserve">    └ 1공장_출하구 야외 바닥 평탄화 투자 승인신청</t>
    <phoneticPr fontId="12" type="noConversion"/>
  </si>
  <si>
    <t xml:space="preserve"> 2) 남양주 출하구 유지보수</t>
    <phoneticPr fontId="3" type="noConversion"/>
  </si>
  <si>
    <t>AS093</t>
  </si>
  <si>
    <t xml:space="preserve">    └ 남양주1공장 출하구 도크씰 및 오버헤드도어 유지보수 투자 승인신청</t>
    <phoneticPr fontId="12" type="noConversion"/>
  </si>
  <si>
    <t xml:space="preserve">    └ 남양주1공장_출하구 전동도어 설치 투자 승인신청</t>
    <phoneticPr fontId="12" type="noConversion"/>
  </si>
  <si>
    <t xml:space="preserve"> 3) 남양주 냉동,냉장창고 유지보수</t>
    <phoneticPr fontId="3" type="noConversion"/>
  </si>
  <si>
    <t>AS094</t>
  </si>
  <si>
    <t xml:space="preserve">    └ 남양주3공장_창고 출하구 캐노피 천정 도색 및 지게차 충전기 포설 승인신청</t>
    <phoneticPr fontId="12" type="noConversion"/>
  </si>
  <si>
    <t xml:space="preserve">    └ 출하구 지붕 보수 공사 승인신청</t>
    <phoneticPr fontId="12" type="noConversion"/>
  </si>
  <si>
    <t xml:space="preserve"> 4) 남양주 창고 내,외 안전개선</t>
    <phoneticPr fontId="3" type="noConversion"/>
  </si>
  <si>
    <t>AS095</t>
  </si>
  <si>
    <t xml:space="preserve">     └ 남양주3공장_냉동창고 팔레트 랙 보수 승인신청</t>
    <phoneticPr fontId="12" type="noConversion"/>
  </si>
  <si>
    <t xml:space="preserve"> 1) 김해 창고 유지 보수</t>
    <phoneticPr fontId="3" type="noConversion"/>
  </si>
  <si>
    <t>AS096</t>
  </si>
  <si>
    <t xml:space="preserve">    └ 김해 창고 유지보수</t>
    <phoneticPr fontId="12" type="noConversion"/>
  </si>
  <si>
    <t xml:space="preserve"> 2) 김해 냉동, 냉장창고 출하구 및 도크씰 보수</t>
    <phoneticPr fontId="3" type="noConversion"/>
  </si>
  <si>
    <t>AS097</t>
  </si>
  <si>
    <t xml:space="preserve">    └ IC 냉동 파레타이져 창고 출입구 에어커튼 설치</t>
    <phoneticPr fontId="12" type="noConversion"/>
  </si>
  <si>
    <t xml:space="preserve"> 3) 김해 냉동, 냉장창고 결로 보강보수</t>
    <phoneticPr fontId="3" type="noConversion"/>
  </si>
  <si>
    <t>AS098</t>
  </si>
  <si>
    <t xml:space="preserve">    └ 아이스크림 팔레타이져#2 결로방지 공사</t>
    <phoneticPr fontId="12" type="noConversion"/>
  </si>
  <si>
    <t xml:space="preserve"> 4) 김해 경산센터 유지보수 (화학세관제 구입 외)</t>
    <phoneticPr fontId="3" type="noConversion"/>
  </si>
  <si>
    <t>AS099</t>
  </si>
  <si>
    <t xml:space="preserve"> 5) 김해 경산센터 창고 유지보수 </t>
    <phoneticPr fontId="3" type="noConversion"/>
  </si>
  <si>
    <t>AS100</t>
  </si>
  <si>
    <t xml:space="preserve">    └ 경산센터 화물용 승강기 비상통화장치 보수</t>
    <phoneticPr fontId="12" type="noConversion"/>
  </si>
  <si>
    <t xml:space="preserve">    └ 경산센터 심정펌프 및 배관 노후교체</t>
    <phoneticPr fontId="12" type="noConversion"/>
  </si>
  <si>
    <t xml:space="preserve"> 6) 김해 경산센터 연수기 수지 교체 </t>
    <phoneticPr fontId="3" type="noConversion"/>
  </si>
  <si>
    <t>AS101</t>
  </si>
  <si>
    <t xml:space="preserve"> 1) 논산 M/Y 냉장창고 유지보수 (바닥, 벽체 등)</t>
    <phoneticPr fontId="3" type="noConversion"/>
  </si>
  <si>
    <t>AS102</t>
  </si>
  <si>
    <t xml:space="preserve">    └ M/Y 유음료창고 유지보수공사(지붕, 천장)</t>
    <phoneticPr fontId="12" type="noConversion"/>
  </si>
  <si>
    <t xml:space="preserve"> 2) 논산 I/C 냉동창고 유지보수 (물길, 바닥, 랙 등)</t>
    <phoneticPr fontId="3" type="noConversion"/>
  </si>
  <si>
    <t>AS103</t>
  </si>
  <si>
    <t xml:space="preserve">     └  I/C 냉동창고 유지보수 공사</t>
    <phoneticPr fontId="12" type="noConversion"/>
  </si>
  <si>
    <t xml:space="preserve"> 5) 광주 _ 창고 유지보수</t>
    <phoneticPr fontId="3" type="noConversion"/>
  </si>
  <si>
    <t>AS104</t>
  </si>
  <si>
    <t xml:space="preserve"> 1) 경산 창고유지보수</t>
    <phoneticPr fontId="12" type="noConversion"/>
  </si>
  <si>
    <t>AS702</t>
    <phoneticPr fontId="12" type="noConversion"/>
  </si>
  <si>
    <t>[ 창고 유지보수 투자 ] 소계</t>
    <phoneticPr fontId="3" type="noConversion"/>
  </si>
  <si>
    <t xml:space="preserve"> 1) 생산공정 고품질 개선</t>
    <phoneticPr fontId="3" type="noConversion"/>
  </si>
  <si>
    <t>AS001</t>
  </si>
  <si>
    <t xml:space="preserve">    └ 김해공장_IC 전처리 물엿탱크 노후 교체 외</t>
    <phoneticPr fontId="12" type="noConversion"/>
  </si>
  <si>
    <t>AS221</t>
    <phoneticPr fontId="12" type="noConversion"/>
  </si>
  <si>
    <t xml:space="preserve">    └ 논산 까페오레 Choco Tank 교체</t>
    <phoneticPr fontId="12" type="noConversion"/>
  </si>
  <si>
    <t>AS222</t>
    <phoneticPr fontId="12" type="noConversion"/>
  </si>
  <si>
    <t xml:space="preserve"> 2) 자동밸브 업그레이드 (2단계)</t>
    <phoneticPr fontId="3" type="noConversion"/>
  </si>
  <si>
    <t>공통</t>
  </si>
  <si>
    <t>AS002</t>
  </si>
  <si>
    <t xml:space="preserve"> 3) Vital Capa-Up (남양주, 김해, 논산中 1대)</t>
    <phoneticPr fontId="3" type="noConversion"/>
  </si>
  <si>
    <t>AS003</t>
  </si>
  <si>
    <t xml:space="preserve"> 4) Smart Factory 구축 </t>
    <phoneticPr fontId="3" type="noConversion"/>
  </si>
  <si>
    <t>AS004</t>
  </si>
  <si>
    <t xml:space="preserve"> 6) 수유 저장 Cap 증대</t>
    <phoneticPr fontId="3" type="noConversion"/>
  </si>
  <si>
    <t>AS005</t>
  </si>
  <si>
    <t xml:space="preserve">    └ 김해공장 원유 SILO 탱크 1기 증설</t>
    <phoneticPr fontId="12" type="noConversion"/>
  </si>
  <si>
    <t>AS541</t>
    <phoneticPr fontId="12" type="noConversion"/>
  </si>
  <si>
    <t xml:space="preserve"> 7) 신제품 대응 투자</t>
    <phoneticPr fontId="3" type="noConversion"/>
  </si>
  <si>
    <t>AS006</t>
  </si>
  <si>
    <t xml:space="preserve">    └ 논산공장 신제품 코팅요거트바 상품화 투자</t>
    <phoneticPr fontId="12" type="noConversion"/>
  </si>
  <si>
    <t>AS201</t>
    <phoneticPr fontId="12" type="noConversion"/>
  </si>
  <si>
    <t xml:space="preserve"> 8) EMS 구축 (1개 공장 시범 적용)</t>
    <phoneticPr fontId="3" type="noConversion"/>
  </si>
  <si>
    <t>AS007</t>
  </si>
  <si>
    <t xml:space="preserve"> 9) AI 시스템 공정 구현</t>
    <phoneticPr fontId="3" type="noConversion"/>
  </si>
  <si>
    <t>AS008</t>
  </si>
  <si>
    <t xml:space="preserve">   └ 남양주공장 AI 기반 QFT 예지보전 시스템</t>
    <phoneticPr fontId="12" type="noConversion"/>
  </si>
  <si>
    <t>AS641</t>
    <phoneticPr fontId="12" type="noConversion"/>
  </si>
  <si>
    <t xml:space="preserve">   └ 논산공장 바 제품 표면 이물 검출 비전 시스템</t>
    <phoneticPr fontId="12" type="noConversion"/>
  </si>
  <si>
    <t>품질보증팀</t>
    <phoneticPr fontId="12" type="noConversion"/>
  </si>
  <si>
    <t>AS642</t>
  </si>
  <si>
    <t xml:space="preserve">   └ 논산공장 머신러닝 비전을 활용한 바나나맛우유 웰딩불량 검출</t>
    <phoneticPr fontId="12" type="noConversion"/>
  </si>
  <si>
    <t>AS643</t>
  </si>
  <si>
    <t xml:space="preserve">   └ 남양주 바나나맛우유 웰딩 불량 비전 시스템 설치 </t>
    <phoneticPr fontId="12" type="noConversion"/>
  </si>
  <si>
    <t>AS644</t>
  </si>
  <si>
    <t xml:space="preserve">   └ 김해 바나나맛우유 웰딩 불량 비전 시스템 설치 </t>
    <phoneticPr fontId="12" type="noConversion"/>
  </si>
  <si>
    <t>AS645</t>
  </si>
  <si>
    <t xml:space="preserve">   └ 논산 바나나맛우유 웰딩 불량 비전 시스템 추가 설치 </t>
    <phoneticPr fontId="12" type="noConversion"/>
  </si>
  <si>
    <t>AS646</t>
  </si>
  <si>
    <t xml:space="preserve"> 10) Vital #1, 2 브라인 공급 시스템 개선 (개별 공급)</t>
    <phoneticPr fontId="12" type="noConversion"/>
  </si>
  <si>
    <t>AS703</t>
    <phoneticPr fontId="12" type="noConversion"/>
  </si>
  <si>
    <t xml:space="preserve">      └ 아이스머신 제빙수 탱크 열교환기 설치 공사</t>
    <phoneticPr fontId="12" type="noConversion"/>
  </si>
  <si>
    <t xml:space="preserve"> 11) 냉동창고 컨베이어 개조 및 확장</t>
    <phoneticPr fontId="12" type="noConversion"/>
  </si>
  <si>
    <t>AS704</t>
  </si>
  <si>
    <t xml:space="preserve"> 12) 탱크로리 CIP 시스템 설치</t>
    <phoneticPr fontId="12" type="noConversion"/>
  </si>
  <si>
    <t>AS705</t>
  </si>
  <si>
    <t>[ 중, 장기 투자 ] 소계</t>
    <phoneticPr fontId="3" type="noConversion"/>
  </si>
  <si>
    <t xml:space="preserve"> . 복지동 개선 리모델링</t>
  </si>
  <si>
    <t>경산</t>
    <phoneticPr fontId="3" type="noConversion"/>
  </si>
  <si>
    <t>AS729</t>
    <phoneticPr fontId="12" type="noConversion"/>
  </si>
  <si>
    <t xml:space="preserve"> . 신규 모나카샌드 과자 시금형 제작</t>
  </si>
  <si>
    <t>AS730</t>
    <phoneticPr fontId="12" type="noConversion"/>
  </si>
  <si>
    <t xml:space="preserve"> . 모나까 신제품</t>
  </si>
  <si>
    <t>AS706</t>
    <phoneticPr fontId="12" type="noConversion"/>
  </si>
  <si>
    <t>25년 이관</t>
    <phoneticPr fontId="12" type="noConversion"/>
  </si>
  <si>
    <t xml:space="preserve"> . 플라스틱콘 (데이트)</t>
  </si>
  <si>
    <t>AS707</t>
  </si>
  <si>
    <t xml:space="preserve"> . 공장부지 외곽 경계철책</t>
  </si>
  <si>
    <t>AS708</t>
  </si>
  <si>
    <t>AS709</t>
  </si>
  <si>
    <t>AS710</t>
  </si>
  <si>
    <t>AS711</t>
  </si>
  <si>
    <t>AS712</t>
  </si>
  <si>
    <t xml:space="preserve"> . AJ #2 Freezer 신규 투자</t>
  </si>
  <si>
    <t>AS713</t>
  </si>
  <si>
    <t xml:space="preserve"> . AJ 설비 보완투자</t>
  </si>
  <si>
    <t>AS714</t>
  </si>
  <si>
    <t xml:space="preserve"> . Vital 설비 보완투자</t>
  </si>
  <si>
    <t>AS715</t>
  </si>
  <si>
    <t xml:space="preserve"> . 전기, 소방 유지보수</t>
  </si>
  <si>
    <t>AS716</t>
  </si>
  <si>
    <t xml:space="preserve"> . 8,000Kw 메인 변압기 교체</t>
  </si>
  <si>
    <t>AS717</t>
  </si>
  <si>
    <t xml:space="preserve"> . Rollo 2호기 마루바류 입상 자동화</t>
  </si>
  <si>
    <t>AS718</t>
  </si>
  <si>
    <t xml:space="preserve"> . 환경, 보건 개선</t>
  </si>
  <si>
    <t>AS719</t>
  </si>
  <si>
    <t xml:space="preserve"> . 1층 전처리실 &amp; 원료탱크실 외 작업장 리모델링 공사</t>
  </si>
  <si>
    <t>AS720</t>
  </si>
  <si>
    <t xml:space="preserve"> . 암모니아 액펌프 1대 구매</t>
  </si>
  <si>
    <t>AS721</t>
  </si>
  <si>
    <t xml:space="preserve"> . 세탁실 세탁기 &amp; 건조기 교체</t>
  </si>
  <si>
    <t>AS722</t>
  </si>
  <si>
    <t xml:space="preserve"> . 1층 전처리실 &amp; 원료탱크실 판넬 및 바닥 철거공사</t>
  </si>
  <si>
    <t>AS723</t>
  </si>
  <si>
    <t>AS724</t>
  </si>
  <si>
    <t xml:space="preserve"> . 건축물 유지보수</t>
  </si>
  <si>
    <t>AS725</t>
  </si>
  <si>
    <t xml:space="preserve"> . 폐수처리장 유지보수</t>
  </si>
  <si>
    <t>AS726</t>
  </si>
  <si>
    <t xml:space="preserve"> . 보일러 Over-Haul</t>
  </si>
  <si>
    <t>AS727</t>
  </si>
  <si>
    <t xml:space="preserve"> . 8톤 보일러 검사 및 세관작업</t>
  </si>
  <si>
    <t>AS728</t>
  </si>
  <si>
    <t xml:space="preserve"> . 경산공장_안전개선 투자</t>
    <phoneticPr fontId="12" type="noConversion"/>
  </si>
  <si>
    <t>AS751</t>
    <phoneticPr fontId="12" type="noConversion"/>
  </si>
  <si>
    <t xml:space="preserve">   └ 안전난간 개선 1차 공사</t>
    <phoneticPr fontId="12" type="noConversion"/>
  </si>
  <si>
    <t>[ 예산외 사항 ] 소계</t>
    <phoneticPr fontId="3" type="noConversion"/>
  </si>
  <si>
    <t>'26년 투자비용 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</si>
</sst>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.0_);[Red]\(#,##0.0\)"/>
    <numFmt numFmtId="177" formatCode="m&quot;/&quot;d;@"/>
    <numFmt numFmtId="178" formatCode="mm&quot;월&quot;\ dd&quot;일&quot;"/>
    <numFmt numFmtId="179" formatCode="0.0%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oPubWorld돋움체 Medium"/>
      <family val="3"/>
      <charset val="129"/>
    </font>
    <font>
      <sz val="8"/>
      <name val="맑은 고딕"/>
      <family val="2"/>
      <charset val="129"/>
      <scheme val="minor"/>
    </font>
    <font>
      <b/>
      <sz val="18"/>
      <color theme="0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sz val="11"/>
      <name val="KoPubWorld돋움체 Medium"/>
      <family val="3"/>
      <charset val="129"/>
    </font>
    <font>
      <sz val="11"/>
      <color rgb="FF0000FF"/>
      <name val="KoPubWorld돋움체 Medium"/>
      <family val="3"/>
      <charset val="129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5">
    <border>
      <left/>
      <right/>
      <top/>
      <bottom/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ck">
        <color rgb="FF0000FF"/>
      </right>
      <top style="thin">
        <color auto="1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auto="1"/>
      </top>
      <bottom style="hair">
        <color auto="1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hair">
        <color theme="1"/>
      </right>
      <top style="hair">
        <color theme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auto="1"/>
      </bottom>
      <diagonal/>
    </border>
    <border>
      <left style="hair">
        <color theme="1"/>
      </left>
      <right style="thick">
        <color rgb="FF0000FF"/>
      </right>
      <top style="hair">
        <color theme="1"/>
      </top>
      <bottom style="thin">
        <color auto="1"/>
      </bottom>
      <diagonal/>
    </border>
    <border>
      <left style="thick">
        <color rgb="FF0000FF"/>
      </left>
      <right style="hair">
        <color theme="1"/>
      </right>
      <top style="hair">
        <color auto="1"/>
      </top>
      <bottom style="thin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rgb="FF0000FF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1"/>
      </right>
      <top style="hair">
        <color auto="1"/>
      </top>
      <bottom style="thin">
        <color auto="1"/>
      </bottom>
      <diagonal/>
    </border>
    <border>
      <left style="hair">
        <color theme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/>
      <right style="hair">
        <color theme="1"/>
      </right>
      <top style="hair">
        <color auto="1"/>
      </top>
      <bottom style="thin">
        <color auto="1"/>
      </bottom>
      <diagonal/>
    </border>
    <border>
      <left style="hair">
        <color theme="1"/>
      </left>
      <right style="thin">
        <color theme="0"/>
      </right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thick">
        <color rgb="FF0000FF"/>
      </right>
      <top/>
      <bottom/>
      <diagonal/>
    </border>
    <border>
      <left style="thick">
        <color rgb="FF0000FF"/>
      </left>
      <right style="hair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/>
      <right style="thick">
        <color rgb="FF0000FF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hair">
        <color theme="1"/>
      </right>
      <top/>
      <bottom style="thin">
        <color auto="1"/>
      </bottom>
      <diagonal/>
    </border>
    <border>
      <left style="hair">
        <color theme="1"/>
      </left>
      <right style="hair">
        <color theme="1"/>
      </right>
      <top/>
      <bottom style="thin">
        <color auto="1"/>
      </bottom>
      <diagonal/>
    </border>
    <border>
      <left style="hair">
        <color theme="1"/>
      </left>
      <right style="thick">
        <color rgb="FF0000FF"/>
      </right>
      <top/>
      <bottom style="thin">
        <color auto="1"/>
      </bottom>
      <diagonal/>
    </border>
    <border>
      <left style="thick">
        <color rgb="FF0000FF"/>
      </left>
      <right style="hair">
        <color theme="1"/>
      </right>
      <top/>
      <bottom style="thin">
        <color auto="1"/>
      </bottom>
      <diagonal/>
    </border>
    <border>
      <left style="hair">
        <color theme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thick">
        <color rgb="FF0000FF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hair">
        <color theme="1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0000FF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 style="hair">
        <color theme="1"/>
      </left>
      <right style="thin">
        <color auto="1"/>
      </right>
      <top/>
      <bottom/>
      <diagonal/>
    </border>
    <border>
      <left/>
      <right style="hair">
        <color theme="1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theme="1"/>
      </right>
      <top style="hair">
        <color auto="1"/>
      </top>
      <bottom/>
      <diagonal/>
    </border>
    <border>
      <left style="hair">
        <color theme="1"/>
      </left>
      <right style="hair">
        <color theme="1"/>
      </right>
      <top style="hair">
        <color auto="1"/>
      </top>
      <bottom/>
      <diagonal/>
    </border>
    <border>
      <left style="hair">
        <color theme="1"/>
      </left>
      <right style="thick">
        <color rgb="FF0000FF"/>
      </right>
      <top style="hair">
        <color auto="1"/>
      </top>
      <bottom/>
      <diagonal/>
    </border>
    <border>
      <left style="thick">
        <color rgb="FF0000FF"/>
      </left>
      <right style="hair">
        <color theme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/>
      <right style="thick">
        <color rgb="FF0000FF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thick">
        <color rgb="FF0000FF"/>
      </right>
      <top style="hair">
        <color auto="1"/>
      </top>
      <bottom style="hair">
        <color auto="1"/>
      </bottom>
      <diagonal/>
    </border>
    <border>
      <left style="thick">
        <color rgb="FF0000FF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rgb="FF0000FF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theme="1"/>
      </right>
      <top/>
      <bottom style="hair">
        <color auto="1"/>
      </bottom>
      <diagonal/>
    </border>
    <border>
      <left style="hair">
        <color theme="1"/>
      </left>
      <right style="hair">
        <color theme="1"/>
      </right>
      <top/>
      <bottom style="hair">
        <color auto="1"/>
      </bottom>
      <diagonal/>
    </border>
    <border>
      <left style="hair">
        <color theme="1"/>
      </left>
      <right style="thick">
        <color rgb="FF0000FF"/>
      </right>
      <top/>
      <bottom style="hair">
        <color auto="1"/>
      </bottom>
      <diagonal/>
    </border>
    <border>
      <left style="thick">
        <color rgb="FF0000FF"/>
      </left>
      <right style="hair">
        <color theme="1"/>
      </right>
      <top/>
      <bottom style="hair">
        <color auto="1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/>
      <right style="thick">
        <color rgb="FF0000FF"/>
      </right>
      <top/>
      <bottom style="hair">
        <color auto="1"/>
      </bottom>
      <diagonal/>
    </border>
    <border>
      <left style="hair">
        <color theme="1"/>
      </left>
      <right style="thin">
        <color auto="1"/>
      </right>
      <top/>
      <bottom style="hair">
        <color auto="1"/>
      </bottom>
      <diagonal/>
    </border>
    <border>
      <left/>
      <right style="hair">
        <color theme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/>
      <top/>
      <bottom style="thin">
        <color auto="1"/>
      </bottom>
      <diagonal/>
    </border>
    <border>
      <left style="hair">
        <color auto="1"/>
      </left>
      <right style="thin">
        <color theme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0"/>
      </bottom>
      <diagonal/>
    </border>
    <border>
      <left style="thin">
        <color auto="1"/>
      </left>
      <right/>
      <top style="thin">
        <color auto="1"/>
      </top>
      <bottom style="medium">
        <color theme="0"/>
      </bottom>
      <diagonal/>
    </border>
    <border>
      <left style="thin">
        <color indexed="64"/>
      </left>
      <right style="hair">
        <color theme="1"/>
      </right>
      <top style="thin">
        <color auto="1"/>
      </top>
      <bottom style="medium">
        <color theme="0"/>
      </bottom>
      <diagonal/>
    </border>
    <border>
      <left style="hair">
        <color theme="1"/>
      </left>
      <right style="hair">
        <color theme="1"/>
      </right>
      <top style="thin">
        <color auto="1"/>
      </top>
      <bottom style="medium">
        <color theme="0"/>
      </bottom>
      <diagonal/>
    </border>
    <border>
      <left style="hair">
        <color theme="1"/>
      </left>
      <right style="thick">
        <color rgb="FF0000FF"/>
      </right>
      <top style="thin">
        <color auto="1"/>
      </top>
      <bottom style="medium">
        <color theme="0"/>
      </bottom>
      <diagonal/>
    </border>
    <border>
      <left style="thick">
        <color rgb="FF0000FF"/>
      </left>
      <right style="hair">
        <color theme="1"/>
      </right>
      <top style="thin">
        <color auto="1"/>
      </top>
      <bottom style="medium">
        <color theme="0"/>
      </bottom>
      <diagonal/>
    </border>
    <border>
      <left style="hair">
        <color theme="1"/>
      </left>
      <right style="hair">
        <color auto="1"/>
      </right>
      <top style="thin">
        <color auto="1"/>
      </top>
      <bottom style="medium">
        <color theme="0"/>
      </bottom>
      <diagonal/>
    </border>
    <border>
      <left/>
      <right style="thick">
        <color rgb="FF0000FF"/>
      </right>
      <top style="thin">
        <color auto="1"/>
      </top>
      <bottom style="medium">
        <color theme="0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medium">
        <color theme="0"/>
      </bottom>
      <diagonal/>
    </border>
    <border>
      <left style="hair">
        <color auto="1"/>
      </left>
      <right style="thin">
        <color indexed="64"/>
      </right>
      <top/>
      <bottom style="medium">
        <color theme="0"/>
      </bottom>
      <diagonal/>
    </border>
    <border>
      <left/>
      <right style="hair">
        <color auto="1"/>
      </right>
      <top style="thin">
        <color auto="1"/>
      </top>
      <bottom style="medium">
        <color theme="0"/>
      </bottom>
      <diagonal/>
    </border>
    <border>
      <left style="hair">
        <color auto="1"/>
      </left>
      <right/>
      <top style="thin">
        <color auto="1"/>
      </top>
      <bottom style="medium">
        <color theme="0"/>
      </bottom>
      <diagonal/>
    </border>
    <border>
      <left style="thick">
        <color rgb="FF0000FF"/>
      </left>
      <right/>
      <top style="thin">
        <color auto="1"/>
      </top>
      <bottom style="medium">
        <color theme="0"/>
      </bottom>
      <diagonal/>
    </border>
    <border>
      <left/>
      <right style="hair">
        <color theme="1"/>
      </right>
      <top style="thin">
        <color auto="1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medium">
        <color theme="0"/>
      </top>
      <bottom/>
      <diagonal/>
    </border>
    <border>
      <left style="hair">
        <color theme="1"/>
      </left>
      <right style="hair">
        <color theme="1"/>
      </right>
      <top style="medium">
        <color theme="0"/>
      </top>
      <bottom/>
      <diagonal/>
    </border>
    <border>
      <left style="hair">
        <color theme="1"/>
      </left>
      <right style="thick">
        <color rgb="FF0000FF"/>
      </right>
      <top style="medium">
        <color theme="0"/>
      </top>
      <bottom/>
      <diagonal/>
    </border>
    <border>
      <left style="thick">
        <color rgb="FF0000FF"/>
      </left>
      <right/>
      <top style="medium">
        <color theme="0"/>
      </top>
      <bottom style="thick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ck">
        <color rgb="FF0000FF"/>
      </bottom>
      <diagonal/>
    </border>
    <border>
      <left/>
      <right style="hair">
        <color theme="1"/>
      </right>
      <top style="medium">
        <color theme="0"/>
      </top>
      <bottom style="thick">
        <color rgb="FF0000FF"/>
      </bottom>
      <diagonal/>
    </border>
    <border>
      <left/>
      <right/>
      <top style="medium">
        <color theme="0"/>
      </top>
      <bottom style="thick">
        <color rgb="FF0000FF"/>
      </bottom>
      <diagonal/>
    </border>
    <border>
      <left/>
      <right style="hair">
        <color indexed="64"/>
      </right>
      <top style="medium">
        <color theme="0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hair">
        <color auto="1"/>
      </left>
      <right style="hair">
        <color theme="0"/>
      </right>
      <top style="medium">
        <color theme="0"/>
      </top>
      <bottom style="thin">
        <color indexed="64"/>
      </bottom>
      <diagonal/>
    </border>
    <border>
      <left style="hair">
        <color auto="1"/>
      </left>
      <right/>
      <top style="medium">
        <color theme="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5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8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6" fillId="0" borderId="11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9" xfId="0" applyFont="1" applyBorder="1" applyAlignment="1">
      <alignment horizontal="right" vertical="center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9" fillId="3" borderId="30" xfId="0" quotePrefix="1" applyFont="1" applyFill="1" applyBorder="1" applyAlignment="1">
      <alignment horizontal="center" vertical="center"/>
    </xf>
    <xf numFmtId="0" fontId="9" fillId="3" borderId="31" xfId="0" quotePrefix="1" applyFont="1" applyFill="1" applyBorder="1" applyAlignment="1">
      <alignment horizontal="center" vertical="center"/>
    </xf>
    <xf numFmtId="0" fontId="9" fillId="3" borderId="32" xfId="0" quotePrefix="1" applyFont="1" applyFill="1" applyBorder="1" applyAlignment="1">
      <alignment horizontal="center" vertical="center"/>
    </xf>
    <xf numFmtId="0" fontId="9" fillId="3" borderId="9" xfId="0" quotePrefix="1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3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41" fontId="10" fillId="0" borderId="43" xfId="1" applyFont="1" applyFill="1" applyBorder="1" applyAlignment="1">
      <alignment horizontal="center" vertical="center"/>
    </xf>
    <xf numFmtId="41" fontId="10" fillId="0" borderId="44" xfId="1" applyFont="1" applyFill="1" applyBorder="1" applyAlignment="1">
      <alignment horizontal="center" vertical="center"/>
    </xf>
    <xf numFmtId="41" fontId="10" fillId="4" borderId="45" xfId="1" applyFont="1" applyFill="1" applyBorder="1" applyAlignment="1">
      <alignment horizontal="center" vertical="center"/>
    </xf>
    <xf numFmtId="41" fontId="10" fillId="4" borderId="0" xfId="1" applyFont="1" applyFill="1" applyBorder="1" applyAlignment="1">
      <alignment horizontal="center" vertical="center"/>
    </xf>
    <xf numFmtId="41" fontId="10" fillId="4" borderId="39" xfId="1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quotePrefix="1" applyFont="1" applyBorder="1" applyAlignment="1">
      <alignment horizontal="center" vertical="center"/>
    </xf>
    <xf numFmtId="0" fontId="6" fillId="0" borderId="47" xfId="0" quotePrefix="1" applyFont="1" applyBorder="1" applyAlignment="1">
      <alignment horizontal="center" vertical="center"/>
    </xf>
    <xf numFmtId="177" fontId="6" fillId="0" borderId="48" xfId="0" applyNumberFormat="1" applyFont="1" applyBorder="1" applyAlignment="1">
      <alignment horizontal="center" vertical="center"/>
    </xf>
    <xf numFmtId="177" fontId="6" fillId="0" borderId="4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41" fontId="10" fillId="0" borderId="53" xfId="1" applyFont="1" applyFill="1" applyBorder="1" applyAlignment="1">
      <alignment horizontal="center" vertical="center"/>
    </xf>
    <xf numFmtId="41" fontId="10" fillId="0" borderId="54" xfId="1" applyFont="1" applyFill="1" applyBorder="1" applyAlignment="1">
      <alignment horizontal="center" vertical="center"/>
    </xf>
    <xf numFmtId="41" fontId="10" fillId="4" borderId="32" xfId="1" applyFont="1" applyFill="1" applyBorder="1" applyAlignment="1">
      <alignment horizontal="center" vertical="center"/>
    </xf>
    <xf numFmtId="41" fontId="10" fillId="4" borderId="9" xfId="1" applyFont="1" applyFill="1" applyBorder="1" applyAlignment="1">
      <alignment horizontal="center" vertical="center"/>
    </xf>
    <xf numFmtId="41" fontId="10" fillId="4" borderId="33" xfId="1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quotePrefix="1" applyFont="1" applyBorder="1" applyAlignment="1">
      <alignment horizontal="center" vertical="center"/>
    </xf>
    <xf numFmtId="0" fontId="6" fillId="0" borderId="56" xfId="0" quotePrefix="1" applyFont="1" applyBorder="1" applyAlignment="1">
      <alignment horizontal="center" vertical="center"/>
    </xf>
    <xf numFmtId="177" fontId="6" fillId="0" borderId="57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0" fontId="11" fillId="5" borderId="60" xfId="0" applyFont="1" applyFill="1" applyBorder="1" applyAlignment="1">
      <alignment horizontal="center" vertical="distributed"/>
    </xf>
    <xf numFmtId="0" fontId="11" fillId="5" borderId="61" xfId="0" applyFont="1" applyFill="1" applyBorder="1" applyAlignment="1">
      <alignment horizontal="center" vertical="center"/>
    </xf>
    <xf numFmtId="0" fontId="11" fillId="5" borderId="62" xfId="0" applyFont="1" applyFill="1" applyBorder="1" applyAlignment="1">
      <alignment horizontal="center" vertical="center"/>
    </xf>
    <xf numFmtId="0" fontId="11" fillId="5" borderId="63" xfId="0" applyFont="1" applyFill="1" applyBorder="1" applyAlignment="1">
      <alignment horizontal="center" vertical="center"/>
    </xf>
    <xf numFmtId="0" fontId="11" fillId="5" borderId="64" xfId="0" applyFont="1" applyFill="1" applyBorder="1" applyAlignment="1">
      <alignment horizontal="center" vertical="center"/>
    </xf>
    <xf numFmtId="41" fontId="11" fillId="5" borderId="65" xfId="1" applyFont="1" applyFill="1" applyBorder="1" applyAlignment="1">
      <alignment horizontal="center" vertical="center"/>
    </xf>
    <xf numFmtId="41" fontId="11" fillId="5" borderId="66" xfId="1" applyFont="1" applyFill="1" applyBorder="1" applyAlignment="1">
      <alignment horizontal="center" vertical="center"/>
    </xf>
    <xf numFmtId="41" fontId="11" fillId="5" borderId="67" xfId="1" applyFont="1" applyFill="1" applyBorder="1" applyAlignment="1">
      <alignment horizontal="center" vertical="center"/>
    </xf>
    <xf numFmtId="41" fontId="11" fillId="5" borderId="59" xfId="1" applyFont="1" applyFill="1" applyBorder="1" applyAlignment="1">
      <alignment horizontal="center" vertical="center"/>
    </xf>
    <xf numFmtId="41" fontId="11" fillId="5" borderId="60" xfId="1" applyFont="1" applyFill="1" applyBorder="1" applyAlignment="1">
      <alignment horizontal="center" vertical="center"/>
    </xf>
    <xf numFmtId="0" fontId="11" fillId="5" borderId="68" xfId="0" applyFont="1" applyFill="1" applyBorder="1" applyAlignment="1">
      <alignment horizontal="center" vertical="center"/>
    </xf>
    <xf numFmtId="0" fontId="11" fillId="5" borderId="69" xfId="0" applyFont="1" applyFill="1" applyBorder="1" applyAlignment="1">
      <alignment horizontal="center" vertical="center"/>
    </xf>
    <xf numFmtId="0" fontId="11" fillId="5" borderId="70" xfId="0" applyFont="1" applyFill="1" applyBorder="1" applyAlignment="1">
      <alignment horizontal="center" vertical="center"/>
    </xf>
    <xf numFmtId="177" fontId="11" fillId="5" borderId="70" xfId="1" applyNumberFormat="1" applyFont="1" applyFill="1" applyBorder="1" applyAlignment="1">
      <alignment horizontal="center" vertical="center"/>
    </xf>
    <xf numFmtId="177" fontId="11" fillId="5" borderId="7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41" fontId="6" fillId="0" borderId="43" xfId="1" applyFont="1" applyFill="1" applyBorder="1" applyAlignment="1">
      <alignment horizontal="center" vertical="center"/>
    </xf>
    <xf numFmtId="41" fontId="6" fillId="0" borderId="44" xfId="1" applyFont="1" applyFill="1" applyBorder="1" applyAlignment="1">
      <alignment horizontal="center" vertical="center"/>
    </xf>
    <xf numFmtId="41" fontId="6" fillId="4" borderId="45" xfId="1" applyFont="1" applyFill="1" applyBorder="1" applyAlignment="1">
      <alignment horizontal="center" vertical="center"/>
    </xf>
    <xf numFmtId="41" fontId="6" fillId="4" borderId="0" xfId="1" applyFont="1" applyFill="1" applyBorder="1" applyAlignment="1">
      <alignment horizontal="center" vertical="center"/>
    </xf>
    <xf numFmtId="41" fontId="6" fillId="4" borderId="39" xfId="1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48" xfId="1" applyNumberFormat="1" applyFont="1" applyFill="1" applyBorder="1" applyAlignment="1">
      <alignment horizontal="center" vertical="center"/>
    </xf>
    <xf numFmtId="177" fontId="6" fillId="0" borderId="49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7" fontId="10" fillId="0" borderId="46" xfId="1" applyNumberFormat="1" applyFont="1" applyFill="1" applyBorder="1" applyAlignment="1">
      <alignment horizontal="center" vertical="center"/>
    </xf>
    <xf numFmtId="177" fontId="10" fillId="0" borderId="47" xfId="1" applyNumberFormat="1" applyFont="1" applyFill="1" applyBorder="1" applyAlignment="1">
      <alignment horizontal="center" vertical="center"/>
    </xf>
    <xf numFmtId="177" fontId="10" fillId="0" borderId="48" xfId="1" applyNumberFormat="1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7" fontId="6" fillId="0" borderId="46" xfId="1" applyNumberFormat="1" applyFont="1" applyFill="1" applyBorder="1" applyAlignment="1">
      <alignment horizontal="center" vertical="center"/>
    </xf>
    <xf numFmtId="177" fontId="6" fillId="0" borderId="47" xfId="1" applyNumberFormat="1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41" fontId="6" fillId="0" borderId="41" xfId="1" applyFont="1" applyFill="1" applyBorder="1" applyAlignment="1">
      <alignment horizontal="center" vertical="center"/>
    </xf>
    <xf numFmtId="177" fontId="6" fillId="0" borderId="46" xfId="1" quotePrefix="1" applyNumberFormat="1" applyFont="1" applyFill="1" applyBorder="1" applyAlignment="1">
      <alignment horizontal="center" vertical="center"/>
    </xf>
    <xf numFmtId="177" fontId="6" fillId="0" borderId="47" xfId="1" quotePrefix="1" applyNumberFormat="1" applyFont="1" applyFill="1" applyBorder="1" applyAlignment="1">
      <alignment horizontal="center" vertical="center"/>
    </xf>
    <xf numFmtId="177" fontId="6" fillId="0" borderId="48" xfId="1" quotePrefix="1" applyNumberFormat="1" applyFont="1" applyFill="1" applyBorder="1" applyAlignment="1">
      <alignment horizontal="center" vertical="center"/>
    </xf>
    <xf numFmtId="177" fontId="6" fillId="0" borderId="72" xfId="1" quotePrefix="1" applyNumberFormat="1" applyFont="1" applyFill="1" applyBorder="1" applyAlignment="1">
      <alignment horizontal="center" vertical="center"/>
    </xf>
    <xf numFmtId="41" fontId="6" fillId="0" borderId="73" xfId="1" applyFont="1" applyFill="1" applyBorder="1" applyAlignment="1">
      <alignment horizontal="center" vertical="center"/>
    </xf>
    <xf numFmtId="177" fontId="6" fillId="0" borderId="49" xfId="1" quotePrefix="1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7" fontId="6" fillId="0" borderId="40" xfId="1" applyNumberFormat="1" applyFont="1" applyFill="1" applyBorder="1" applyAlignment="1">
      <alignment horizontal="center" vertical="center"/>
    </xf>
    <xf numFmtId="177" fontId="6" fillId="0" borderId="74" xfId="1" applyNumberFormat="1" applyFont="1" applyFill="1" applyBorder="1" applyAlignment="1">
      <alignment horizontal="center" vertical="center"/>
    </xf>
    <xf numFmtId="177" fontId="6" fillId="0" borderId="75" xfId="1" applyNumberFormat="1" applyFont="1" applyFill="1" applyBorder="1" applyAlignment="1">
      <alignment horizontal="center" vertical="center"/>
    </xf>
    <xf numFmtId="177" fontId="6" fillId="0" borderId="8" xfId="1" applyNumberFormat="1" applyFont="1" applyFill="1" applyBorder="1" applyAlignment="1">
      <alignment horizontal="center" vertical="center"/>
    </xf>
    <xf numFmtId="177" fontId="6" fillId="0" borderId="7" xfId="1" applyNumberFormat="1" applyFont="1" applyFill="1" applyBorder="1" applyAlignment="1">
      <alignment horizontal="center" vertical="center"/>
    </xf>
    <xf numFmtId="177" fontId="6" fillId="0" borderId="0" xfId="1" applyNumberFormat="1" applyFont="1" applyFill="1" applyBorder="1" applyAlignment="1">
      <alignment horizontal="center" vertical="center"/>
    </xf>
    <xf numFmtId="177" fontId="10" fillId="0" borderId="40" xfId="1" applyNumberFormat="1" applyFont="1" applyFill="1" applyBorder="1" applyAlignment="1">
      <alignment horizontal="center" vertical="center"/>
    </xf>
    <xf numFmtId="177" fontId="10" fillId="0" borderId="74" xfId="1" applyNumberFormat="1" applyFont="1" applyFill="1" applyBorder="1" applyAlignment="1">
      <alignment horizontal="center" vertical="center"/>
    </xf>
    <xf numFmtId="177" fontId="10" fillId="0" borderId="75" xfId="1" applyNumberFormat="1" applyFont="1" applyFill="1" applyBorder="1" applyAlignment="1">
      <alignment horizontal="center" vertical="center"/>
    </xf>
    <xf numFmtId="41" fontId="6" fillId="0" borderId="46" xfId="1" applyFont="1" applyFill="1" applyBorder="1" applyAlignment="1">
      <alignment horizontal="center" vertical="center"/>
    </xf>
    <xf numFmtId="41" fontId="6" fillId="0" borderId="48" xfId="1" applyFont="1" applyFill="1" applyBorder="1" applyAlignment="1">
      <alignment horizontal="center" vertical="center"/>
    </xf>
    <xf numFmtId="177" fontId="6" fillId="0" borderId="47" xfId="0" applyNumberFormat="1" applyFont="1" applyBorder="1" applyAlignment="1">
      <alignment horizontal="center" vertical="center"/>
    </xf>
    <xf numFmtId="177" fontId="6" fillId="0" borderId="72" xfId="0" quotePrefix="1" applyNumberFormat="1" applyFont="1" applyBorder="1" applyAlignment="1">
      <alignment horizontal="center" vertical="center"/>
    </xf>
    <xf numFmtId="177" fontId="6" fillId="0" borderId="72" xfId="0" applyNumberFormat="1" applyFont="1" applyBorder="1" applyAlignment="1">
      <alignment horizontal="center" vertical="center"/>
    </xf>
    <xf numFmtId="41" fontId="6" fillId="0" borderId="43" xfId="1" quotePrefix="1" applyFont="1" applyFill="1" applyBorder="1" applyAlignment="1">
      <alignment horizontal="center" vertical="center"/>
    </xf>
    <xf numFmtId="41" fontId="6" fillId="0" borderId="41" xfId="1" quotePrefix="1" applyFont="1" applyFill="1" applyBorder="1" applyAlignment="1">
      <alignment horizontal="center" vertical="center"/>
    </xf>
    <xf numFmtId="41" fontId="6" fillId="0" borderId="41" xfId="1" quotePrefix="1" applyFont="1" applyFill="1" applyBorder="1" applyAlignment="1">
      <alignment horizontal="right" vertical="center"/>
    </xf>
    <xf numFmtId="0" fontId="11" fillId="0" borderId="76" xfId="0" applyFont="1" applyBorder="1" applyAlignment="1">
      <alignment horizontal="left" vertical="center"/>
    </xf>
    <xf numFmtId="0" fontId="6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41" fontId="6" fillId="0" borderId="82" xfId="1" applyFont="1" applyFill="1" applyBorder="1" applyAlignment="1">
      <alignment horizontal="center" vertical="center"/>
    </xf>
    <xf numFmtId="41" fontId="6" fillId="0" borderId="83" xfId="1" applyFont="1" applyFill="1" applyBorder="1" applyAlignment="1">
      <alignment horizontal="center" vertical="center"/>
    </xf>
    <xf numFmtId="41" fontId="6" fillId="4" borderId="84" xfId="1" applyFont="1" applyFill="1" applyBorder="1" applyAlignment="1">
      <alignment horizontal="center" vertical="center"/>
    </xf>
    <xf numFmtId="41" fontId="6" fillId="4" borderId="76" xfId="1" applyFont="1" applyFill="1" applyBorder="1" applyAlignment="1">
      <alignment horizontal="center" vertical="center"/>
    </xf>
    <xf numFmtId="41" fontId="6" fillId="4" borderId="77" xfId="1" applyFont="1" applyFill="1" applyBorder="1" applyAlignment="1">
      <alignment horizontal="center" vertical="center"/>
    </xf>
    <xf numFmtId="41" fontId="10" fillId="0" borderId="85" xfId="1" applyFont="1" applyFill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41" fontId="10" fillId="0" borderId="87" xfId="1" applyFont="1" applyFill="1" applyBorder="1" applyAlignment="1">
      <alignment horizontal="center" vertical="center"/>
    </xf>
    <xf numFmtId="177" fontId="10" fillId="0" borderId="87" xfId="1" applyNumberFormat="1" applyFont="1" applyFill="1" applyBorder="1" applyAlignment="1">
      <alignment horizontal="center" vertical="center"/>
    </xf>
    <xf numFmtId="177" fontId="10" fillId="0" borderId="88" xfId="1" applyNumberFormat="1" applyFont="1" applyFill="1" applyBorder="1" applyAlignment="1">
      <alignment horizontal="center" vertical="center"/>
    </xf>
    <xf numFmtId="177" fontId="6" fillId="0" borderId="49" xfId="0" quotePrefix="1" applyNumberFormat="1" applyFont="1" applyBorder="1" applyAlignment="1">
      <alignment horizontal="center" vertical="center"/>
    </xf>
    <xf numFmtId="0" fontId="11" fillId="0" borderId="89" xfId="0" applyFont="1" applyBorder="1" applyAlignment="1">
      <alignment horizontal="left" vertical="center"/>
    </xf>
    <xf numFmtId="0" fontId="11" fillId="0" borderId="90" xfId="0" applyFont="1" applyBorder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6" fillId="0" borderId="93" xfId="0" applyFont="1" applyBorder="1" applyAlignment="1">
      <alignment horizontal="center" vertical="center"/>
    </xf>
    <xf numFmtId="0" fontId="6" fillId="0" borderId="94" xfId="0" applyFont="1" applyBorder="1" applyAlignment="1">
      <alignment horizontal="center" vertical="center"/>
    </xf>
    <xf numFmtId="41" fontId="6" fillId="0" borderId="95" xfId="1" applyFont="1" applyFill="1" applyBorder="1" applyAlignment="1">
      <alignment horizontal="center" vertical="center"/>
    </xf>
    <xf numFmtId="41" fontId="6" fillId="0" borderId="96" xfId="1" applyFont="1" applyFill="1" applyBorder="1" applyAlignment="1">
      <alignment horizontal="center" vertical="center"/>
    </xf>
    <xf numFmtId="41" fontId="6" fillId="4" borderId="97" xfId="1" applyFont="1" applyFill="1" applyBorder="1" applyAlignment="1">
      <alignment horizontal="center" vertical="center"/>
    </xf>
    <xf numFmtId="41" fontId="6" fillId="4" borderId="89" xfId="1" applyFont="1" applyFill="1" applyBorder="1" applyAlignment="1">
      <alignment horizontal="center" vertical="center"/>
    </xf>
    <xf numFmtId="41" fontId="6" fillId="4" borderId="90" xfId="1" applyFont="1" applyFill="1" applyBorder="1" applyAlignment="1">
      <alignment horizontal="center" vertical="center"/>
    </xf>
    <xf numFmtId="41" fontId="10" fillId="0" borderId="98" xfId="1" applyFont="1" applyFill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41" fontId="10" fillId="0" borderId="100" xfId="1" applyFont="1" applyFill="1" applyBorder="1" applyAlignment="1">
      <alignment horizontal="center" vertical="center"/>
    </xf>
    <xf numFmtId="177" fontId="10" fillId="0" borderId="100" xfId="1" applyNumberFormat="1" applyFont="1" applyFill="1" applyBorder="1" applyAlignment="1">
      <alignment horizontal="center" vertical="center"/>
    </xf>
    <xf numFmtId="177" fontId="10" fillId="0" borderId="101" xfId="1" applyNumberFormat="1" applyFont="1" applyFill="1" applyBorder="1" applyAlignment="1">
      <alignment horizontal="center" vertical="center"/>
    </xf>
    <xf numFmtId="177" fontId="10" fillId="0" borderId="72" xfId="1" quotePrefix="1" applyNumberFormat="1" applyFont="1" applyFill="1" applyBorder="1" applyAlignment="1">
      <alignment horizontal="center" vertical="center"/>
    </xf>
    <xf numFmtId="177" fontId="10" fillId="0" borderId="49" xfId="1" quotePrefix="1" applyNumberFormat="1" applyFont="1" applyFill="1" applyBorder="1" applyAlignment="1">
      <alignment horizontal="center" vertical="center"/>
    </xf>
    <xf numFmtId="0" fontId="6" fillId="7" borderId="39" xfId="0" applyFont="1" applyFill="1" applyBorder="1" applyAlignment="1">
      <alignment horizontal="center" vertical="center"/>
    </xf>
    <xf numFmtId="0" fontId="6" fillId="0" borderId="102" xfId="0" applyFont="1" applyBorder="1">
      <alignment vertical="center"/>
    </xf>
    <xf numFmtId="0" fontId="6" fillId="0" borderId="102" xfId="0" applyFont="1" applyBorder="1" applyAlignment="1">
      <alignment horizontal="left" vertical="center"/>
    </xf>
    <xf numFmtId="0" fontId="6" fillId="0" borderId="103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6" fillId="0" borderId="106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41" fontId="6" fillId="0" borderId="108" xfId="1" applyFont="1" applyFill="1" applyBorder="1" applyAlignment="1">
      <alignment horizontal="center" vertical="center"/>
    </xf>
    <xf numFmtId="41" fontId="6" fillId="0" borderId="109" xfId="1" applyFont="1" applyFill="1" applyBorder="1" applyAlignment="1">
      <alignment horizontal="center" vertical="center"/>
    </xf>
    <xf numFmtId="41" fontId="6" fillId="4" borderId="110" xfId="1" applyFont="1" applyFill="1" applyBorder="1" applyAlignment="1">
      <alignment horizontal="center" vertical="center"/>
    </xf>
    <xf numFmtId="41" fontId="6" fillId="4" borderId="102" xfId="1" applyFont="1" applyFill="1" applyBorder="1" applyAlignment="1">
      <alignment horizontal="center" vertical="center"/>
    </xf>
    <xf numFmtId="41" fontId="6" fillId="4" borderId="103" xfId="1" applyFont="1" applyFill="1" applyBorder="1" applyAlignment="1">
      <alignment horizontal="center" vertical="center"/>
    </xf>
    <xf numFmtId="177" fontId="6" fillId="0" borderId="105" xfId="1" applyNumberFormat="1" applyFont="1" applyFill="1" applyBorder="1" applyAlignment="1">
      <alignment horizontal="center" vertical="center"/>
    </xf>
    <xf numFmtId="177" fontId="6" fillId="0" borderId="111" xfId="1" applyNumberFormat="1" applyFont="1" applyFill="1" applyBorder="1" applyAlignment="1">
      <alignment horizontal="center" vertical="center"/>
    </xf>
    <xf numFmtId="177" fontId="6" fillId="0" borderId="112" xfId="1" applyNumberFormat="1" applyFont="1" applyFill="1" applyBorder="1" applyAlignment="1">
      <alignment horizontal="center" vertical="center"/>
    </xf>
    <xf numFmtId="0" fontId="6" fillId="0" borderId="113" xfId="0" applyFont="1" applyBorder="1" applyAlignment="1">
      <alignment horizontal="center" vertical="center"/>
    </xf>
    <xf numFmtId="0" fontId="6" fillId="0" borderId="114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41" fontId="10" fillId="0" borderId="46" xfId="1" applyFont="1" applyFill="1" applyBorder="1" applyAlignment="1">
      <alignment horizontal="center" vertical="center"/>
    </xf>
    <xf numFmtId="41" fontId="10" fillId="0" borderId="48" xfId="1" applyFont="1" applyFill="1" applyBorder="1" applyAlignment="1">
      <alignment horizontal="center" vertical="center"/>
    </xf>
    <xf numFmtId="177" fontId="10" fillId="0" borderId="49" xfId="1" applyNumberFormat="1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41" fontId="6" fillId="0" borderId="53" xfId="1" applyFont="1" applyFill="1" applyBorder="1" applyAlignment="1">
      <alignment horizontal="center" vertical="center"/>
    </xf>
    <xf numFmtId="41" fontId="6" fillId="0" borderId="115" xfId="1" applyFont="1" applyFill="1" applyBorder="1" applyAlignment="1">
      <alignment horizontal="center" vertical="center"/>
    </xf>
    <xf numFmtId="41" fontId="6" fillId="4" borderId="32" xfId="1" applyFont="1" applyFill="1" applyBorder="1" applyAlignment="1">
      <alignment horizontal="center" vertical="center"/>
    </xf>
    <xf numFmtId="41" fontId="6" fillId="4" borderId="9" xfId="1" applyFont="1" applyFill="1" applyBorder="1" applyAlignment="1">
      <alignment horizontal="center" vertical="center"/>
    </xf>
    <xf numFmtId="41" fontId="6" fillId="4" borderId="33" xfId="1" applyFont="1" applyFill="1" applyBorder="1" applyAlignment="1">
      <alignment horizontal="center" vertical="center"/>
    </xf>
    <xf numFmtId="177" fontId="6" fillId="0" borderId="55" xfId="1" quotePrefix="1" applyNumberFormat="1" applyFont="1" applyFill="1" applyBorder="1" applyAlignment="1">
      <alignment horizontal="center" vertical="center"/>
    </xf>
    <xf numFmtId="177" fontId="6" fillId="0" borderId="56" xfId="1" quotePrefix="1" applyNumberFormat="1" applyFont="1" applyFill="1" applyBorder="1" applyAlignment="1">
      <alignment horizontal="center" vertical="center"/>
    </xf>
    <xf numFmtId="177" fontId="6" fillId="0" borderId="57" xfId="1" quotePrefix="1" applyNumberFormat="1" applyFont="1" applyFill="1" applyBorder="1" applyAlignment="1">
      <alignment horizontal="center" vertical="center"/>
    </xf>
    <xf numFmtId="177" fontId="6" fillId="0" borderId="58" xfId="1" quotePrefix="1" applyNumberFormat="1" applyFont="1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distributed"/>
    </xf>
    <xf numFmtId="0" fontId="11" fillId="5" borderId="11" xfId="0" applyFont="1" applyFill="1" applyBorder="1" applyAlignment="1">
      <alignment horizontal="center" vertical="distributed"/>
    </xf>
    <xf numFmtId="0" fontId="11" fillId="5" borderId="50" xfId="0" applyFont="1" applyFill="1" applyBorder="1" applyAlignment="1">
      <alignment horizontal="center" vertical="distributed"/>
    </xf>
    <xf numFmtId="0" fontId="11" fillId="5" borderId="51" xfId="0" applyFont="1" applyFill="1" applyBorder="1" applyAlignment="1">
      <alignment horizontal="center" vertical="distributed"/>
    </xf>
    <xf numFmtId="0" fontId="11" fillId="5" borderId="52" xfId="0" applyFont="1" applyFill="1" applyBorder="1" applyAlignment="1">
      <alignment horizontal="center" vertical="distributed"/>
    </xf>
    <xf numFmtId="41" fontId="11" fillId="5" borderId="53" xfId="1" applyFont="1" applyFill="1" applyBorder="1" applyAlignment="1">
      <alignment horizontal="center" vertical="center"/>
    </xf>
    <xf numFmtId="41" fontId="11" fillId="5" borderId="54" xfId="1" applyFont="1" applyFill="1" applyBorder="1" applyAlignment="1">
      <alignment horizontal="center" vertical="center"/>
    </xf>
    <xf numFmtId="41" fontId="11" fillId="5" borderId="32" xfId="1" applyFont="1" applyFill="1" applyBorder="1" applyAlignment="1">
      <alignment horizontal="center" vertical="center"/>
    </xf>
    <xf numFmtId="41" fontId="11" fillId="5" borderId="9" xfId="1" applyFont="1" applyFill="1" applyBorder="1" applyAlignment="1">
      <alignment horizontal="center" vertical="center"/>
    </xf>
    <xf numFmtId="41" fontId="11" fillId="5" borderId="33" xfId="1" applyFont="1" applyFill="1" applyBorder="1" applyAlignment="1">
      <alignment horizontal="center" vertical="center"/>
    </xf>
    <xf numFmtId="41" fontId="11" fillId="5" borderId="55" xfId="1" applyFont="1" applyFill="1" applyBorder="1" applyAlignment="1">
      <alignment horizontal="center" vertical="center"/>
    </xf>
    <xf numFmtId="41" fontId="11" fillId="5" borderId="56" xfId="1" applyFont="1" applyFill="1" applyBorder="1" applyAlignment="1">
      <alignment horizontal="center" vertical="center"/>
    </xf>
    <xf numFmtId="41" fontId="11" fillId="5" borderId="57" xfId="1" applyFont="1" applyFill="1" applyBorder="1" applyAlignment="1">
      <alignment horizontal="center" vertical="center"/>
    </xf>
    <xf numFmtId="41" fontId="11" fillId="5" borderId="58" xfId="1" applyFont="1" applyFill="1" applyBorder="1" applyAlignment="1">
      <alignment horizontal="center" vertical="center"/>
    </xf>
    <xf numFmtId="177" fontId="6" fillId="0" borderId="46" xfId="0" applyNumberFormat="1" applyFont="1" applyBorder="1" applyAlignment="1">
      <alignment horizontal="center" vertical="center"/>
    </xf>
    <xf numFmtId="177" fontId="6" fillId="0" borderId="48" xfId="0" quotePrefix="1" applyNumberFormat="1" applyFont="1" applyBorder="1" applyAlignment="1">
      <alignment horizontal="center" vertical="center"/>
    </xf>
    <xf numFmtId="177" fontId="6" fillId="0" borderId="55" xfId="0" applyNumberFormat="1" applyFont="1" applyBorder="1" applyAlignment="1">
      <alignment horizontal="center" vertical="center"/>
    </xf>
    <xf numFmtId="177" fontId="6" fillId="0" borderId="56" xfId="0" applyNumberFormat="1" applyFont="1" applyBorder="1" applyAlignment="1">
      <alignment horizontal="center" vertical="center"/>
    </xf>
    <xf numFmtId="177" fontId="6" fillId="0" borderId="57" xfId="0" quotePrefix="1" applyNumberFormat="1" applyFont="1" applyBorder="1" applyAlignment="1">
      <alignment horizontal="center" vertical="center"/>
    </xf>
    <xf numFmtId="177" fontId="6" fillId="0" borderId="116" xfId="0" quotePrefix="1" applyNumberFormat="1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177" fontId="6" fillId="0" borderId="58" xfId="0" quotePrefix="1" applyNumberFormat="1" applyFont="1" applyBorder="1" applyAlignment="1">
      <alignment horizontal="center" vertical="center"/>
    </xf>
    <xf numFmtId="0" fontId="11" fillId="5" borderId="60" xfId="0" applyFont="1" applyFill="1" applyBorder="1" applyAlignment="1">
      <alignment horizontal="center" vertical="center"/>
    </xf>
    <xf numFmtId="0" fontId="11" fillId="5" borderId="57" xfId="0" applyFont="1" applyFill="1" applyBorder="1" applyAlignment="1">
      <alignment horizontal="center" vertical="center"/>
    </xf>
    <xf numFmtId="177" fontId="11" fillId="5" borderId="57" xfId="1" applyNumberFormat="1" applyFont="1" applyFill="1" applyBorder="1" applyAlignment="1">
      <alignment horizontal="center" vertical="center"/>
    </xf>
    <xf numFmtId="177" fontId="11" fillId="5" borderId="58" xfId="1" applyNumberFormat="1" applyFont="1" applyFill="1" applyBorder="1" applyAlignment="1">
      <alignment horizontal="center" vertical="center"/>
    </xf>
    <xf numFmtId="0" fontId="6" fillId="0" borderId="72" xfId="0" quotePrefix="1" applyFont="1" applyBorder="1" applyAlignment="1">
      <alignment horizontal="center" vertical="center"/>
    </xf>
    <xf numFmtId="178" fontId="6" fillId="0" borderId="46" xfId="0" applyNumberFormat="1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178" fontId="10" fillId="0" borderId="46" xfId="0" applyNumberFormat="1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78" fontId="6" fillId="0" borderId="47" xfId="0" applyNumberFormat="1" applyFont="1" applyBorder="1" applyAlignment="1">
      <alignment horizontal="center" vertical="center"/>
    </xf>
    <xf numFmtId="0" fontId="11" fillId="5" borderId="118" xfId="0" applyFont="1" applyFill="1" applyBorder="1" applyAlignment="1">
      <alignment horizontal="center" vertical="center"/>
    </xf>
    <xf numFmtId="0" fontId="11" fillId="5" borderId="119" xfId="0" applyFont="1" applyFill="1" applyBorder="1" applyAlignment="1">
      <alignment horizontal="center" vertical="center"/>
    </xf>
    <xf numFmtId="0" fontId="11" fillId="5" borderId="120" xfId="0" applyFont="1" applyFill="1" applyBorder="1" applyAlignment="1">
      <alignment horizontal="center" vertical="center"/>
    </xf>
    <xf numFmtId="0" fontId="11" fillId="5" borderId="121" xfId="0" applyFont="1" applyFill="1" applyBorder="1" applyAlignment="1">
      <alignment horizontal="center" vertical="center"/>
    </xf>
    <xf numFmtId="0" fontId="11" fillId="5" borderId="122" xfId="0" applyFont="1" applyFill="1" applyBorder="1" applyAlignment="1">
      <alignment horizontal="center" vertical="center"/>
    </xf>
    <xf numFmtId="41" fontId="11" fillId="5" borderId="123" xfId="1" applyFont="1" applyFill="1" applyBorder="1" applyAlignment="1">
      <alignment horizontal="center" vertical="center"/>
    </xf>
    <xf numFmtId="41" fontId="11" fillId="5" borderId="124" xfId="1" applyFont="1" applyFill="1" applyBorder="1" applyAlignment="1">
      <alignment horizontal="center" vertical="center"/>
    </xf>
    <xf numFmtId="41" fontId="11" fillId="5" borderId="125" xfId="1" applyFont="1" applyFill="1" applyBorder="1" applyAlignment="1">
      <alignment horizontal="center" vertical="center"/>
    </xf>
    <xf numFmtId="41" fontId="11" fillId="5" borderId="117" xfId="1" applyFont="1" applyFill="1" applyBorder="1" applyAlignment="1">
      <alignment horizontal="center" vertical="center"/>
    </xf>
    <xf numFmtId="41" fontId="11" fillId="5" borderId="118" xfId="1" applyFont="1" applyFill="1" applyBorder="1" applyAlignment="1">
      <alignment horizontal="center" vertical="center"/>
    </xf>
    <xf numFmtId="0" fontId="11" fillId="5" borderId="126" xfId="0" applyFont="1" applyFill="1" applyBorder="1" applyAlignment="1">
      <alignment horizontal="center" vertical="center"/>
    </xf>
    <xf numFmtId="41" fontId="11" fillId="5" borderId="127" xfId="1" applyFont="1" applyFill="1" applyBorder="1" applyAlignment="1">
      <alignment horizontal="center" vertical="center"/>
    </xf>
    <xf numFmtId="0" fontId="11" fillId="5" borderId="128" xfId="0" applyFont="1" applyFill="1" applyBorder="1" applyAlignment="1">
      <alignment horizontal="center" vertical="center"/>
    </xf>
    <xf numFmtId="177" fontId="11" fillId="5" borderId="128" xfId="1" applyNumberFormat="1" applyFont="1" applyFill="1" applyBorder="1" applyAlignment="1">
      <alignment horizontal="center" vertical="center"/>
    </xf>
    <xf numFmtId="177" fontId="11" fillId="5" borderId="129" xfId="1" applyNumberFormat="1" applyFont="1" applyFill="1" applyBorder="1" applyAlignment="1">
      <alignment horizontal="center" vertical="center"/>
    </xf>
    <xf numFmtId="41" fontId="6" fillId="0" borderId="39" xfId="1" applyFont="1" applyFill="1" applyBorder="1" applyAlignment="1">
      <alignment horizontal="center" vertical="center"/>
    </xf>
    <xf numFmtId="41" fontId="6" fillId="0" borderId="8" xfId="1" applyFont="1" applyFill="1" applyBorder="1">
      <alignment vertical="center"/>
    </xf>
    <xf numFmtId="41" fontId="11" fillId="5" borderId="130" xfId="1" applyFont="1" applyFill="1" applyBorder="1" applyAlignment="1">
      <alignment horizontal="center" vertical="center"/>
    </xf>
    <xf numFmtId="41" fontId="11" fillId="5" borderId="131" xfId="1" applyFont="1" applyFill="1" applyBorder="1" applyAlignment="1">
      <alignment horizontal="center" vertical="center"/>
    </xf>
    <xf numFmtId="0" fontId="7" fillId="3" borderId="133" xfId="0" quotePrefix="1" applyFont="1" applyFill="1" applyBorder="1" applyAlignment="1">
      <alignment horizontal="center" vertical="center"/>
    </xf>
    <xf numFmtId="0" fontId="7" fillId="3" borderId="134" xfId="0" quotePrefix="1" applyFont="1" applyFill="1" applyBorder="1" applyAlignment="1">
      <alignment horizontal="center" vertical="center"/>
    </xf>
    <xf numFmtId="0" fontId="7" fillId="3" borderId="135" xfId="0" quotePrefix="1" applyFont="1" applyFill="1" applyBorder="1" applyAlignment="1">
      <alignment horizontal="center" vertical="center"/>
    </xf>
    <xf numFmtId="0" fontId="7" fillId="3" borderId="136" xfId="0" quotePrefix="1" applyFont="1" applyFill="1" applyBorder="1" applyAlignment="1">
      <alignment horizontal="center" vertical="center"/>
    </xf>
    <xf numFmtId="41" fontId="7" fillId="3" borderId="137" xfId="1" applyFont="1" applyFill="1" applyBorder="1" applyAlignment="1">
      <alignment horizontal="center" vertical="center"/>
    </xf>
    <xf numFmtId="41" fontId="7" fillId="3" borderId="138" xfId="1" applyFont="1" applyFill="1" applyBorder="1" applyAlignment="1">
      <alignment horizontal="center" vertical="center"/>
    </xf>
    <xf numFmtId="41" fontId="7" fillId="3" borderId="139" xfId="1" applyFont="1" applyFill="1" applyBorder="1" applyAlignment="1">
      <alignment horizontal="center" vertical="center"/>
    </xf>
    <xf numFmtId="41" fontId="7" fillId="3" borderId="140" xfId="1" applyFont="1" applyFill="1" applyBorder="1" applyAlignment="1">
      <alignment horizontal="center" vertical="center"/>
    </xf>
    <xf numFmtId="0" fontId="7" fillId="3" borderId="141" xfId="0" applyFont="1" applyFill="1" applyBorder="1" applyAlignment="1">
      <alignment horizontal="center" vertical="center"/>
    </xf>
    <xf numFmtId="0" fontId="7" fillId="3" borderId="142" xfId="0" applyFont="1" applyFill="1" applyBorder="1" applyAlignment="1">
      <alignment horizontal="center" vertical="center"/>
    </xf>
    <xf numFmtId="0" fontId="7" fillId="3" borderId="143" xfId="0" applyFont="1" applyFill="1" applyBorder="1" applyAlignment="1">
      <alignment horizontal="center" vertical="center"/>
    </xf>
    <xf numFmtId="0" fontId="7" fillId="3" borderId="144" xfId="0" applyFont="1" applyFill="1" applyBorder="1" applyAlignment="1">
      <alignment horizontal="center" vertical="center"/>
    </xf>
    <xf numFmtId="179" fontId="6" fillId="0" borderId="0" xfId="2" applyNumberFormat="1" applyFont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11" fillId="5" borderId="59" xfId="0" applyFont="1" applyFill="1" applyBorder="1" applyAlignment="1">
      <alignment horizontal="center" vertical="distributed"/>
    </xf>
    <xf numFmtId="0" fontId="11" fillId="5" borderId="9" xfId="0" applyFont="1" applyFill="1" applyBorder="1" applyAlignment="1">
      <alignment horizontal="center" vertical="distributed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9" fillId="3" borderId="15" xfId="0" quotePrefix="1" applyFont="1" applyFill="1" applyBorder="1" applyAlignment="1">
      <alignment horizontal="center" vertical="center"/>
    </xf>
    <xf numFmtId="0" fontId="9" fillId="3" borderId="16" xfId="0" quotePrefix="1" applyFont="1" applyFill="1" applyBorder="1" applyAlignment="1">
      <alignment horizontal="center" vertical="center"/>
    </xf>
    <xf numFmtId="0" fontId="9" fillId="3" borderId="17" xfId="0" quotePrefix="1" applyFont="1" applyFill="1" applyBorder="1" applyAlignment="1">
      <alignment horizontal="center" vertical="center"/>
    </xf>
    <xf numFmtId="0" fontId="9" fillId="3" borderId="18" xfId="0" quotePrefix="1" applyFont="1" applyFill="1" applyBorder="1" applyAlignment="1">
      <alignment horizontal="center" vertical="center"/>
    </xf>
    <xf numFmtId="0" fontId="9" fillId="3" borderId="4" xfId="0" quotePrefix="1" applyFont="1" applyFill="1" applyBorder="1" applyAlignment="1">
      <alignment horizontal="center" vertical="center"/>
    </xf>
    <xf numFmtId="0" fontId="11" fillId="5" borderId="59" xfId="0" applyFont="1" applyFill="1" applyBorder="1" applyAlignment="1">
      <alignment horizontal="center" vertical="center"/>
    </xf>
    <xf numFmtId="0" fontId="11" fillId="5" borderId="117" xfId="0" applyFont="1" applyFill="1" applyBorder="1" applyAlignment="1">
      <alignment horizontal="center" vertical="center"/>
    </xf>
    <xf numFmtId="0" fontId="7" fillId="3" borderId="132" xfId="0" quotePrefix="1" applyFont="1" applyFill="1" applyBorder="1" applyAlignment="1">
      <alignment horizontal="center" vertical="center"/>
    </xf>
    <xf numFmtId="0" fontId="9" fillId="3" borderId="19" xfId="0" quotePrefix="1" applyFont="1" applyFill="1" applyBorder="1" applyAlignment="1">
      <alignment horizontal="center" vertical="center"/>
    </xf>
    <xf numFmtId="0" fontId="9" fillId="3" borderId="33" xfId="0" quotePrefix="1" applyFont="1" applyFill="1" applyBorder="1" applyAlignment="1">
      <alignment horizontal="center" vertical="center"/>
    </xf>
    <xf numFmtId="0" fontId="6" fillId="6" borderId="0" xfId="0" applyFont="1" applyFill="1">
      <alignment vertical="center"/>
    </xf>
    <xf numFmtId="0" fontId="6" fillId="6" borderId="0" xfId="0" applyFont="1" applyFill="1" applyAlignment="1">
      <alignment horizontal="left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/>
    </xf>
    <xf numFmtId="41" fontId="6" fillId="6" borderId="43" xfId="1" applyFont="1" applyFill="1" applyBorder="1" applyAlignment="1">
      <alignment horizontal="center" vertical="center"/>
    </xf>
    <xf numFmtId="41" fontId="6" fillId="6" borderId="44" xfId="1" applyFont="1" applyFill="1" applyBorder="1" applyAlignment="1">
      <alignment horizontal="center" vertical="center"/>
    </xf>
    <xf numFmtId="41" fontId="6" fillId="6" borderId="45" xfId="1" applyFont="1" applyFill="1" applyBorder="1" applyAlignment="1">
      <alignment horizontal="center" vertical="center"/>
    </xf>
    <xf numFmtId="41" fontId="6" fillId="6" borderId="0" xfId="1" applyFont="1" applyFill="1" applyBorder="1" applyAlignment="1">
      <alignment horizontal="center" vertical="center"/>
    </xf>
    <xf numFmtId="41" fontId="6" fillId="6" borderId="39" xfId="1" applyFont="1" applyFill="1" applyBorder="1" applyAlignment="1">
      <alignment horizontal="center" vertical="center"/>
    </xf>
    <xf numFmtId="177" fontId="6" fillId="6" borderId="8" xfId="1" applyNumberFormat="1" applyFont="1" applyFill="1" applyBorder="1" applyAlignment="1">
      <alignment horizontal="center" vertical="center"/>
    </xf>
    <xf numFmtId="177" fontId="6" fillId="6" borderId="7" xfId="1" applyNumberFormat="1" applyFont="1" applyFill="1" applyBorder="1" applyAlignment="1">
      <alignment horizontal="center" vertical="center"/>
    </xf>
    <xf numFmtId="177" fontId="6" fillId="6" borderId="0" xfId="1" applyNumberFormat="1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/>
    </xf>
    <xf numFmtId="41" fontId="6" fillId="6" borderId="73" xfId="1" applyFont="1" applyFill="1" applyBorder="1" applyAlignment="1">
      <alignment horizontal="center" vertical="center"/>
    </xf>
    <xf numFmtId="177" fontId="6" fillId="6" borderId="46" xfId="1" quotePrefix="1" applyNumberFormat="1" applyFont="1" applyFill="1" applyBorder="1" applyAlignment="1">
      <alignment horizontal="center" vertical="center"/>
    </xf>
    <xf numFmtId="177" fontId="6" fillId="6" borderId="47" xfId="1" quotePrefix="1" applyNumberFormat="1" applyFont="1" applyFill="1" applyBorder="1" applyAlignment="1">
      <alignment horizontal="center" vertical="center"/>
    </xf>
    <xf numFmtId="177" fontId="6" fillId="6" borderId="48" xfId="1" quotePrefix="1" applyNumberFormat="1" applyFont="1" applyFill="1" applyBorder="1" applyAlignment="1">
      <alignment horizontal="center" vertical="center"/>
    </xf>
    <xf numFmtId="177" fontId="6" fillId="6" borderId="49" xfId="1" quotePrefix="1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41" fontId="6" fillId="6" borderId="41" xfId="1" applyFont="1" applyFill="1" applyBorder="1" applyAlignment="1">
      <alignment horizontal="center" vertical="center"/>
    </xf>
    <xf numFmtId="0" fontId="6" fillId="6" borderId="46" xfId="0" applyFont="1" applyFill="1" applyBorder="1" applyAlignment="1">
      <alignment horizontal="center" vertical="center"/>
    </xf>
    <xf numFmtId="0" fontId="6" fillId="6" borderId="47" xfId="0" applyFont="1" applyFill="1" applyBorder="1" applyAlignment="1">
      <alignment horizontal="center" vertical="center"/>
    </xf>
    <xf numFmtId="0" fontId="6" fillId="6" borderId="72" xfId="0" quotePrefix="1" applyFont="1" applyFill="1" applyBorder="1" applyAlignment="1">
      <alignment horizontal="center" vertical="center"/>
    </xf>
    <xf numFmtId="177" fontId="6" fillId="6" borderId="49" xfId="0" applyNumberFormat="1" applyFont="1" applyFill="1" applyBorder="1" applyAlignment="1">
      <alignment horizontal="center" vertical="center"/>
    </xf>
    <xf numFmtId="41" fontId="6" fillId="6" borderId="41" xfId="1" quotePrefix="1" applyFont="1" applyFill="1" applyBorder="1" applyAlignment="1">
      <alignment horizontal="right" vertical="center"/>
    </xf>
    <xf numFmtId="177" fontId="6" fillId="6" borderId="47" xfId="0" applyNumberFormat="1" applyFont="1" applyFill="1" applyBorder="1" applyAlignment="1">
      <alignment horizontal="center" vertical="center"/>
    </xf>
    <xf numFmtId="177" fontId="6" fillId="6" borderId="72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178" fontId="10" fillId="6" borderId="46" xfId="0" applyNumberFormat="1" applyFont="1" applyFill="1" applyBorder="1" applyAlignment="1">
      <alignment horizontal="center" vertical="center"/>
    </xf>
    <xf numFmtId="0" fontId="10" fillId="6" borderId="48" xfId="0" applyFont="1" applyFill="1" applyBorder="1" applyAlignment="1">
      <alignment horizontal="center" vertical="center"/>
    </xf>
    <xf numFmtId="177" fontId="10" fillId="6" borderId="49" xfId="1" applyNumberFormat="1" applyFont="1" applyFill="1" applyBorder="1" applyAlignment="1">
      <alignment horizontal="center" vertical="center"/>
    </xf>
    <xf numFmtId="177" fontId="6" fillId="6" borderId="72" xfId="0" quotePrefix="1" applyNumberFormat="1" applyFont="1" applyFill="1" applyBorder="1" applyAlignment="1">
      <alignment horizontal="center" vertical="center"/>
    </xf>
    <xf numFmtId="0" fontId="6" fillId="6" borderId="0" xfId="0" quotePrefix="1" applyFont="1" applyFill="1" applyAlignment="1">
      <alignment horizontal="center" vertical="center"/>
    </xf>
    <xf numFmtId="0" fontId="6" fillId="6" borderId="47" xfId="0" quotePrefix="1" applyFont="1" applyFill="1" applyBorder="1" applyAlignment="1">
      <alignment horizontal="center" vertical="center"/>
    </xf>
    <xf numFmtId="0" fontId="6" fillId="6" borderId="49" xfId="0" quotePrefix="1" applyFont="1" applyFill="1" applyBorder="1" applyAlignment="1">
      <alignment horizontal="center" vertical="center"/>
    </xf>
    <xf numFmtId="178" fontId="6" fillId="6" borderId="46" xfId="0" applyNumberFormat="1" applyFont="1" applyFill="1" applyBorder="1" applyAlignment="1">
      <alignment horizontal="center" vertical="center"/>
    </xf>
    <xf numFmtId="177" fontId="10" fillId="6" borderId="47" xfId="1" applyNumberFormat="1" applyFont="1" applyFill="1" applyBorder="1" applyAlignment="1">
      <alignment horizontal="center" vertical="center"/>
    </xf>
    <xf numFmtId="177" fontId="10" fillId="6" borderId="49" xfId="1" quotePrefix="1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%20&#53804;&#51088;\26&#45380;\&#9733;%2026&#45380;%20&#53804;&#51088;&#44228;&#54925;_&#52572;&#51333;&#26696;_&#51221;&#47532;_&#53076;&#46300;&#48512;&#506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26년 조기집행 투자"/>
      <sheetName val="2. 26년 전체 리스트_전체"/>
      <sheetName val="유첨1. 전사 공통 투자"/>
      <sheetName val="유첨2. 남양주공장 투자"/>
      <sheetName val="유첨3. 김해공장 투자"/>
      <sheetName val="유첨4. 논산공장 투자"/>
      <sheetName val="유첨5. 광주공장 투자"/>
      <sheetName val="유첨6. 식품연구소 투자"/>
    </sheetNames>
    <sheetDataSet>
      <sheetData sheetId="0"/>
      <sheetData sheetId="1"/>
      <sheetData sheetId="2"/>
      <sheetData sheetId="3">
        <row r="143">
          <cell r="K143">
            <v>0</v>
          </cell>
        </row>
      </sheetData>
      <sheetData sheetId="4"/>
      <sheetData sheetId="5"/>
      <sheetData sheetId="6">
        <row r="92">
          <cell r="K92">
            <v>0</v>
          </cell>
          <cell r="L92">
            <v>50000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281E-395D-4935-B8EA-65A50EEAB4A6}">
  <dimension ref="B1:X301"/>
  <sheetViews>
    <sheetView tabSelected="1" topLeftCell="A115" zoomScale="85" zoomScaleNormal="85" workbookViewId="0">
      <selection activeCell="F130" sqref="F130"/>
    </sheetView>
  </sheetViews>
  <sheetFormatPr defaultColWidth="9" defaultRowHeight="18.75" x14ac:dyDescent="0.3"/>
  <cols>
    <col min="1" max="1" width="1.625" style="3" customWidth="1"/>
    <col min="2" max="10" width="12.625" style="3" customWidth="1"/>
    <col min="11" max="11" width="13.875" style="3" customWidth="1"/>
    <col min="12" max="12" width="12.625" style="3" customWidth="1"/>
    <col min="13" max="13" width="13.875" style="3" customWidth="1"/>
    <col min="14" max="17" width="12.625" style="3" customWidth="1"/>
    <col min="18" max="18" width="9.625" style="3" bestFit="1" customWidth="1"/>
    <col min="19" max="19" width="9.75" style="3" bestFit="1" customWidth="1"/>
    <col min="20" max="16384" width="9" style="3"/>
  </cols>
  <sheetData>
    <row r="1" spans="2:17" s="1" customFormat="1" ht="20.100000000000001" customHeight="1" x14ac:dyDescent="0.3"/>
    <row r="2" spans="2:17" s="1" customFormat="1" ht="20.100000000000001" customHeight="1" x14ac:dyDescent="0.3">
      <c r="B2" s="265" t="s">
        <v>0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</row>
    <row r="3" spans="2:17" s="1" customFormat="1" ht="20.100000000000001" customHeight="1" x14ac:dyDescent="0.3"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6" spans="2:17" ht="18" customHeight="1" x14ac:dyDescent="0.3">
      <c r="B6" s="2" t="s">
        <v>1</v>
      </c>
      <c r="M6" s="4"/>
      <c r="Q6" s="4" t="s">
        <v>2</v>
      </c>
    </row>
    <row r="7" spans="2:17" ht="9.9499999999999993" customHeight="1" x14ac:dyDescent="0.3">
      <c r="B7" s="2"/>
      <c r="M7" s="4"/>
      <c r="Q7" s="4"/>
    </row>
    <row r="8" spans="2:17" ht="18" customHeight="1" x14ac:dyDescent="0.3">
      <c r="B8" s="266" t="s">
        <v>3</v>
      </c>
      <c r="C8" s="267"/>
      <c r="D8" s="267" t="s">
        <v>4</v>
      </c>
      <c r="E8" s="267"/>
      <c r="F8" s="267" t="s">
        <v>5</v>
      </c>
      <c r="G8" s="267"/>
      <c r="H8" s="267" t="s">
        <v>6</v>
      </c>
      <c r="I8" s="267"/>
      <c r="J8" s="267" t="s">
        <v>7</v>
      </c>
      <c r="K8" s="267"/>
      <c r="L8" s="267" t="s">
        <v>8</v>
      </c>
      <c r="M8" s="267"/>
      <c r="N8" s="267" t="s">
        <v>9</v>
      </c>
      <c r="O8" s="267"/>
      <c r="P8" s="267"/>
      <c r="Q8" s="268"/>
    </row>
    <row r="9" spans="2:17" ht="18" customHeight="1" x14ac:dyDescent="0.3">
      <c r="B9" s="269" t="s">
        <v>10</v>
      </c>
      <c r="C9" s="270"/>
      <c r="D9" s="263">
        <f>SUMIF($F$21:$F$25,B9,$M$21:$M$25)/1000</f>
        <v>0</v>
      </c>
      <c r="E9" s="264"/>
      <c r="F9" s="263">
        <f t="shared" ref="F9:F14" si="0">SUMIF($F$27:$F$210,B9,$M$27:$M$210)/1000</f>
        <v>7400</v>
      </c>
      <c r="G9" s="264"/>
      <c r="H9" s="263">
        <f t="shared" ref="H9:H14" si="1">SUMIF($F$211:$F$239,B9,$M$211:$M$239)/1000</f>
        <v>100</v>
      </c>
      <c r="I9" s="264"/>
      <c r="J9" s="263">
        <f>M263/1000</f>
        <v>11900</v>
      </c>
      <c r="K9" s="264"/>
      <c r="L9" s="263">
        <f>SUM(D9:K9)</f>
        <v>19400</v>
      </c>
      <c r="M9" s="264"/>
      <c r="N9" s="5"/>
      <c r="O9" s="6"/>
      <c r="P9" s="6"/>
      <c r="Q9" s="7"/>
    </row>
    <row r="10" spans="2:17" ht="18" customHeight="1" x14ac:dyDescent="0.3">
      <c r="B10" s="273" t="s">
        <v>11</v>
      </c>
      <c r="C10" s="274"/>
      <c r="D10" s="271">
        <f t="shared" ref="D10:D14" si="2">SUMIF($F$21:$F$25,B10,$M$21:$M$25)/1000</f>
        <v>1815</v>
      </c>
      <c r="E10" s="272"/>
      <c r="F10" s="271">
        <f t="shared" si="0"/>
        <v>2763.5</v>
      </c>
      <c r="G10" s="272"/>
      <c r="H10" s="271">
        <f t="shared" si="1"/>
        <v>80</v>
      </c>
      <c r="I10" s="272"/>
      <c r="J10" s="271">
        <v>0</v>
      </c>
      <c r="K10" s="272"/>
      <c r="L10" s="271">
        <f t="shared" ref="L10:L14" si="3">SUM(D10:K10)</f>
        <v>4658.5</v>
      </c>
      <c r="M10" s="272"/>
      <c r="N10" s="8"/>
      <c r="Q10" s="9"/>
    </row>
    <row r="11" spans="2:17" ht="18" customHeight="1" x14ac:dyDescent="0.3">
      <c r="B11" s="273" t="s">
        <v>12</v>
      </c>
      <c r="C11" s="274"/>
      <c r="D11" s="271">
        <f t="shared" si="2"/>
        <v>1245</v>
      </c>
      <c r="E11" s="272"/>
      <c r="F11" s="271">
        <f t="shared" si="0"/>
        <v>1562</v>
      </c>
      <c r="G11" s="272"/>
      <c r="H11" s="271">
        <f t="shared" si="1"/>
        <v>106</v>
      </c>
      <c r="I11" s="272"/>
      <c r="J11" s="271">
        <v>0</v>
      </c>
      <c r="K11" s="272"/>
      <c r="L11" s="271">
        <f t="shared" si="3"/>
        <v>2913</v>
      </c>
      <c r="M11" s="272"/>
      <c r="N11" s="8"/>
      <c r="Q11" s="9"/>
    </row>
    <row r="12" spans="2:17" ht="18" customHeight="1" x14ac:dyDescent="0.3">
      <c r="B12" s="273" t="s">
        <v>13</v>
      </c>
      <c r="C12" s="274"/>
      <c r="D12" s="271">
        <f t="shared" si="2"/>
        <v>873.5</v>
      </c>
      <c r="E12" s="272"/>
      <c r="F12" s="271">
        <f t="shared" si="0"/>
        <v>1120</v>
      </c>
      <c r="G12" s="272"/>
      <c r="H12" s="271">
        <f t="shared" si="1"/>
        <v>55</v>
      </c>
      <c r="I12" s="272"/>
      <c r="J12" s="271">
        <v>0</v>
      </c>
      <c r="K12" s="272"/>
      <c r="L12" s="271">
        <f t="shared" si="3"/>
        <v>2048.5</v>
      </c>
      <c r="M12" s="272"/>
      <c r="N12" s="8"/>
      <c r="Q12" s="9"/>
    </row>
    <row r="13" spans="2:17" ht="18" customHeight="1" x14ac:dyDescent="0.3">
      <c r="B13" s="273" t="s">
        <v>14</v>
      </c>
      <c r="C13" s="274"/>
      <c r="D13" s="271">
        <f t="shared" si="2"/>
        <v>767</v>
      </c>
      <c r="E13" s="272"/>
      <c r="F13" s="271">
        <f t="shared" si="0"/>
        <v>760</v>
      </c>
      <c r="G13" s="272"/>
      <c r="H13" s="271">
        <f t="shared" si="1"/>
        <v>50</v>
      </c>
      <c r="I13" s="272"/>
      <c r="J13" s="271">
        <v>0</v>
      </c>
      <c r="K13" s="272"/>
      <c r="L13" s="271">
        <f t="shared" si="3"/>
        <v>1577</v>
      </c>
      <c r="M13" s="272"/>
      <c r="N13" s="8"/>
      <c r="Q13" s="9"/>
    </row>
    <row r="14" spans="2:17" ht="18" customHeight="1" x14ac:dyDescent="0.3">
      <c r="B14" s="276" t="s">
        <v>15</v>
      </c>
      <c r="C14" s="277"/>
      <c r="D14" s="278">
        <f t="shared" si="2"/>
        <v>220.6</v>
      </c>
      <c r="E14" s="279"/>
      <c r="F14" s="278">
        <f t="shared" si="0"/>
        <v>0</v>
      </c>
      <c r="G14" s="279"/>
      <c r="H14" s="278">
        <f t="shared" si="1"/>
        <v>0</v>
      </c>
      <c r="I14" s="279"/>
      <c r="J14" s="278">
        <v>0</v>
      </c>
      <c r="K14" s="279"/>
      <c r="L14" s="278">
        <f t="shared" si="3"/>
        <v>220.6</v>
      </c>
      <c r="M14" s="279"/>
      <c r="N14" s="8"/>
      <c r="Q14" s="9"/>
    </row>
    <row r="15" spans="2:17" ht="18" customHeight="1" x14ac:dyDescent="0.3">
      <c r="B15" s="280" t="s">
        <v>8</v>
      </c>
      <c r="C15" s="281"/>
      <c r="D15" s="275">
        <f>SUM(D9:E14)</f>
        <v>4921.1000000000004</v>
      </c>
      <c r="E15" s="275"/>
      <c r="F15" s="275">
        <f>SUM(F9:G14)</f>
        <v>13605.5</v>
      </c>
      <c r="G15" s="275"/>
      <c r="H15" s="275">
        <f>SUM(H9:I14)</f>
        <v>391</v>
      </c>
      <c r="I15" s="275"/>
      <c r="J15" s="275">
        <f>SUM(J9:K14)</f>
        <v>11900</v>
      </c>
      <c r="K15" s="275"/>
      <c r="L15" s="275">
        <f>SUM(L9:M14)</f>
        <v>30817.599999999999</v>
      </c>
      <c r="M15" s="275"/>
      <c r="N15" s="10"/>
      <c r="O15" s="11"/>
      <c r="P15" s="11"/>
      <c r="Q15" s="12"/>
    </row>
    <row r="17" spans="2:24" ht="18" customHeight="1" x14ac:dyDescent="0.3">
      <c r="B17" s="2" t="s">
        <v>16</v>
      </c>
      <c r="M17" s="4"/>
      <c r="Q17" s="4" t="s">
        <v>17</v>
      </c>
    </row>
    <row r="18" spans="2:24" ht="5.0999999999999996" customHeight="1" thickBot="1" x14ac:dyDescent="0.35"/>
    <row r="19" spans="2:24" ht="18" customHeight="1" thickTop="1" x14ac:dyDescent="0.3">
      <c r="B19" s="289" t="s">
        <v>18</v>
      </c>
      <c r="C19" s="290"/>
      <c r="D19" s="290"/>
      <c r="E19" s="290"/>
      <c r="F19" s="290" t="s">
        <v>19</v>
      </c>
      <c r="G19" s="293" t="s">
        <v>20</v>
      </c>
      <c r="H19" s="294" t="s">
        <v>21</v>
      </c>
      <c r="I19" s="294"/>
      <c r="J19" s="295"/>
      <c r="K19" s="296" t="s">
        <v>22</v>
      </c>
      <c r="L19" s="297"/>
      <c r="M19" s="298"/>
      <c r="N19" s="299" t="s">
        <v>23</v>
      </c>
      <c r="O19" s="300"/>
      <c r="P19" s="300"/>
      <c r="Q19" s="304" t="s">
        <v>24</v>
      </c>
      <c r="R19" s="282" t="s">
        <v>25</v>
      </c>
      <c r="S19" s="283"/>
      <c r="T19" s="284" t="s">
        <v>26</v>
      </c>
      <c r="U19" s="285"/>
      <c r="V19" s="286" t="s">
        <v>27</v>
      </c>
      <c r="W19" s="284"/>
    </row>
    <row r="20" spans="2:24" ht="18" customHeight="1" x14ac:dyDescent="0.3">
      <c r="B20" s="291"/>
      <c r="C20" s="292"/>
      <c r="D20" s="292"/>
      <c r="E20" s="292"/>
      <c r="F20" s="292"/>
      <c r="G20" s="293"/>
      <c r="H20" s="13" t="s">
        <v>28</v>
      </c>
      <c r="I20" s="14" t="s">
        <v>29</v>
      </c>
      <c r="J20" s="15" t="s">
        <v>30</v>
      </c>
      <c r="K20" s="16" t="s">
        <v>31</v>
      </c>
      <c r="L20" s="17" t="s">
        <v>32</v>
      </c>
      <c r="M20" s="18" t="s">
        <v>33</v>
      </c>
      <c r="N20" s="16" t="s">
        <v>31</v>
      </c>
      <c r="O20" s="17" t="s">
        <v>32</v>
      </c>
      <c r="P20" s="19" t="s">
        <v>33</v>
      </c>
      <c r="Q20" s="305"/>
      <c r="R20" s="20" t="s">
        <v>34</v>
      </c>
      <c r="S20" s="21" t="s">
        <v>35</v>
      </c>
      <c r="T20" s="22" t="s">
        <v>34</v>
      </c>
      <c r="U20" s="23" t="s">
        <v>35</v>
      </c>
      <c r="V20" s="22" t="s">
        <v>36</v>
      </c>
      <c r="W20" s="24" t="s">
        <v>37</v>
      </c>
    </row>
    <row r="21" spans="2:24" ht="18" customHeight="1" x14ac:dyDescent="0.3">
      <c r="B21" s="25" t="s">
        <v>38</v>
      </c>
      <c r="C21" s="25"/>
      <c r="D21" s="25"/>
      <c r="E21" s="25"/>
      <c r="F21" s="26" t="s">
        <v>11</v>
      </c>
      <c r="G21" s="27" t="s">
        <v>39</v>
      </c>
      <c r="H21" s="28" t="s">
        <v>40</v>
      </c>
      <c r="I21" s="29" t="s">
        <v>40</v>
      </c>
      <c r="J21" s="30" t="s">
        <v>40</v>
      </c>
      <c r="K21" s="31">
        <v>36000</v>
      </c>
      <c r="L21" s="32">
        <v>1779000</v>
      </c>
      <c r="M21" s="33">
        <f t="shared" ref="M21:M25" si="4">SUM(K21:L21)</f>
        <v>1815000</v>
      </c>
      <c r="N21" s="31"/>
      <c r="O21" s="32"/>
      <c r="P21" s="34">
        <f t="shared" ref="P21:P25" si="5">SUM(N21:O21)</f>
        <v>0</v>
      </c>
      <c r="Q21" s="35"/>
      <c r="R21" s="36"/>
      <c r="S21" s="37"/>
      <c r="T21" s="38" t="s">
        <v>41</v>
      </c>
      <c r="U21" s="39" t="s">
        <v>42</v>
      </c>
      <c r="V21" s="40" t="s">
        <v>43</v>
      </c>
      <c r="W21" s="41" t="s">
        <v>40</v>
      </c>
    </row>
    <row r="22" spans="2:24" ht="18" customHeight="1" x14ac:dyDescent="0.3">
      <c r="B22" s="25" t="s">
        <v>44</v>
      </c>
      <c r="C22" s="25"/>
      <c r="D22" s="25"/>
      <c r="E22" s="25"/>
      <c r="F22" s="26" t="s">
        <v>12</v>
      </c>
      <c r="G22" s="27" t="s">
        <v>39</v>
      </c>
      <c r="H22" s="28" t="s">
        <v>40</v>
      </c>
      <c r="I22" s="29" t="s">
        <v>40</v>
      </c>
      <c r="J22" s="30" t="s">
        <v>40</v>
      </c>
      <c r="K22" s="31">
        <v>32000</v>
      </c>
      <c r="L22" s="32">
        <v>1213000</v>
      </c>
      <c r="M22" s="33">
        <f t="shared" si="4"/>
        <v>1245000</v>
      </c>
      <c r="N22" s="31"/>
      <c r="O22" s="32"/>
      <c r="P22" s="34">
        <f t="shared" si="5"/>
        <v>0</v>
      </c>
      <c r="Q22" s="35"/>
      <c r="R22" s="36"/>
      <c r="S22" s="37"/>
      <c r="T22" s="38" t="s">
        <v>41</v>
      </c>
      <c r="U22" s="39" t="s">
        <v>42</v>
      </c>
      <c r="V22" s="40" t="s">
        <v>43</v>
      </c>
      <c r="W22" s="41" t="s">
        <v>40</v>
      </c>
    </row>
    <row r="23" spans="2:24" ht="18" customHeight="1" x14ac:dyDescent="0.3">
      <c r="B23" s="25" t="s">
        <v>45</v>
      </c>
      <c r="C23" s="25"/>
      <c r="D23" s="25"/>
      <c r="E23" s="25"/>
      <c r="F23" s="26" t="s">
        <v>13</v>
      </c>
      <c r="G23" s="27" t="s">
        <v>39</v>
      </c>
      <c r="H23" s="28" t="s">
        <v>40</v>
      </c>
      <c r="I23" s="29" t="s">
        <v>40</v>
      </c>
      <c r="J23" s="30" t="s">
        <v>40</v>
      </c>
      <c r="K23" s="31">
        <v>46100</v>
      </c>
      <c r="L23" s="32">
        <v>827400</v>
      </c>
      <c r="M23" s="33">
        <f t="shared" si="4"/>
        <v>873500</v>
      </c>
      <c r="N23" s="31"/>
      <c r="O23" s="32"/>
      <c r="P23" s="34">
        <f t="shared" si="5"/>
        <v>0</v>
      </c>
      <c r="Q23" s="35"/>
      <c r="R23" s="36"/>
      <c r="S23" s="37"/>
      <c r="T23" s="38" t="s">
        <v>41</v>
      </c>
      <c r="U23" s="39" t="s">
        <v>42</v>
      </c>
      <c r="V23" s="40" t="s">
        <v>43</v>
      </c>
      <c r="W23" s="41" t="s">
        <v>40</v>
      </c>
    </row>
    <row r="24" spans="2:24" ht="18" customHeight="1" x14ac:dyDescent="0.3">
      <c r="B24" s="25" t="s">
        <v>46</v>
      </c>
      <c r="C24" s="25"/>
      <c r="D24" s="25"/>
      <c r="E24" s="25"/>
      <c r="F24" s="26" t="s">
        <v>14</v>
      </c>
      <c r="G24" s="27" t="s">
        <v>39</v>
      </c>
      <c r="H24" s="28" t="s">
        <v>40</v>
      </c>
      <c r="I24" s="29" t="s">
        <v>40</v>
      </c>
      <c r="J24" s="30" t="s">
        <v>40</v>
      </c>
      <c r="K24" s="31">
        <v>0</v>
      </c>
      <c r="L24" s="32">
        <v>767000</v>
      </c>
      <c r="M24" s="33">
        <f t="shared" si="4"/>
        <v>767000</v>
      </c>
      <c r="N24" s="31"/>
      <c r="O24" s="32"/>
      <c r="P24" s="34">
        <f t="shared" si="5"/>
        <v>0</v>
      </c>
      <c r="Q24" s="35"/>
      <c r="R24" s="36"/>
      <c r="S24" s="37"/>
      <c r="T24" s="38" t="s">
        <v>41</v>
      </c>
      <c r="U24" s="39" t="s">
        <v>42</v>
      </c>
      <c r="V24" s="40" t="s">
        <v>43</v>
      </c>
      <c r="W24" s="41" t="s">
        <v>40</v>
      </c>
    </row>
    <row r="25" spans="2:24" ht="18" customHeight="1" x14ac:dyDescent="0.3">
      <c r="B25" s="42" t="s">
        <v>47</v>
      </c>
      <c r="C25" s="42"/>
      <c r="D25" s="42"/>
      <c r="E25" s="42"/>
      <c r="F25" s="43" t="s">
        <v>15</v>
      </c>
      <c r="G25" s="44" t="s">
        <v>39</v>
      </c>
      <c r="H25" s="45" t="s">
        <v>40</v>
      </c>
      <c r="I25" s="46" t="s">
        <v>40</v>
      </c>
      <c r="J25" s="47" t="s">
        <v>40</v>
      </c>
      <c r="K25" s="48">
        <v>142600</v>
      </c>
      <c r="L25" s="49">
        <v>78000</v>
      </c>
      <c r="M25" s="50">
        <f t="shared" si="4"/>
        <v>220600</v>
      </c>
      <c r="N25" s="48"/>
      <c r="O25" s="49"/>
      <c r="P25" s="51">
        <f t="shared" si="5"/>
        <v>0</v>
      </c>
      <c r="Q25" s="52"/>
      <c r="R25" s="53"/>
      <c r="S25" s="54"/>
      <c r="T25" s="55" t="s">
        <v>41</v>
      </c>
      <c r="U25" s="56" t="s">
        <v>42</v>
      </c>
      <c r="V25" s="57" t="s">
        <v>43</v>
      </c>
      <c r="W25" s="58" t="s">
        <v>40</v>
      </c>
    </row>
    <row r="26" spans="2:24" ht="18" customHeight="1" x14ac:dyDescent="0.3">
      <c r="B26" s="287" t="s">
        <v>48</v>
      </c>
      <c r="C26" s="287"/>
      <c r="D26" s="287"/>
      <c r="E26" s="287"/>
      <c r="F26" s="59" t="s">
        <v>40</v>
      </c>
      <c r="G26" s="60" t="s">
        <v>40</v>
      </c>
      <c r="H26" s="61" t="s">
        <v>40</v>
      </c>
      <c r="I26" s="62" t="s">
        <v>40</v>
      </c>
      <c r="J26" s="63" t="s">
        <v>40</v>
      </c>
      <c r="K26" s="64">
        <f>SUM(K21:K25)</f>
        <v>256700</v>
      </c>
      <c r="L26" s="65">
        <f t="shared" ref="L26:M26" si="6">SUM(L21:L25)</f>
        <v>4664400</v>
      </c>
      <c r="M26" s="66">
        <f t="shared" si="6"/>
        <v>4921100</v>
      </c>
      <c r="N26" s="64">
        <f>SUM(N21:N25)</f>
        <v>0</v>
      </c>
      <c r="O26" s="65">
        <f t="shared" ref="O26:Q26" si="7">SUM(O21:O25)</f>
        <v>0</v>
      </c>
      <c r="P26" s="67">
        <f t="shared" si="7"/>
        <v>0</v>
      </c>
      <c r="Q26" s="68">
        <f t="shared" si="7"/>
        <v>0</v>
      </c>
      <c r="R26" s="69"/>
      <c r="S26" s="70"/>
      <c r="T26" s="71" t="s">
        <v>49</v>
      </c>
      <c r="U26" s="70" t="s">
        <v>49</v>
      </c>
      <c r="V26" s="72" t="s">
        <v>40</v>
      </c>
      <c r="W26" s="73" t="s">
        <v>40</v>
      </c>
    </row>
    <row r="27" spans="2:24" ht="18" customHeight="1" x14ac:dyDescent="0.3">
      <c r="B27" s="74" t="s">
        <v>50</v>
      </c>
      <c r="C27" s="74"/>
      <c r="D27" s="74"/>
      <c r="E27" s="74"/>
      <c r="F27" s="26" t="s">
        <v>40</v>
      </c>
      <c r="G27" s="27" t="s">
        <v>49</v>
      </c>
      <c r="H27" s="28"/>
      <c r="I27" s="29"/>
      <c r="J27" s="30"/>
      <c r="K27" s="75">
        <v>0</v>
      </c>
      <c r="L27" s="76">
        <v>0</v>
      </c>
      <c r="M27" s="77">
        <f t="shared" ref="M27:M134" si="8">SUM(K27:L27)</f>
        <v>0</v>
      </c>
      <c r="N27" s="75"/>
      <c r="O27" s="76"/>
      <c r="P27" s="78">
        <f t="shared" ref="P27:P137" si="9">SUM(N27:O27)</f>
        <v>0</v>
      </c>
      <c r="Q27" s="79"/>
      <c r="R27" s="36"/>
      <c r="S27" s="37"/>
      <c r="T27" s="80" t="s">
        <v>49</v>
      </c>
      <c r="U27" s="37" t="s">
        <v>49</v>
      </c>
      <c r="V27" s="40" t="s">
        <v>40</v>
      </c>
      <c r="W27" s="41" t="s">
        <v>40</v>
      </c>
    </row>
    <row r="28" spans="2:24" ht="18" customHeight="1" x14ac:dyDescent="0.3">
      <c r="B28" s="25" t="s">
        <v>51</v>
      </c>
      <c r="C28" s="81"/>
      <c r="D28" s="25"/>
      <c r="E28" s="25"/>
      <c r="F28" s="26" t="s">
        <v>40</v>
      </c>
      <c r="G28" s="27" t="s">
        <v>49</v>
      </c>
      <c r="H28" s="28"/>
      <c r="I28" s="29"/>
      <c r="J28" s="30"/>
      <c r="K28" s="75">
        <v>0</v>
      </c>
      <c r="L28" s="76">
        <v>0</v>
      </c>
      <c r="M28" s="77">
        <f t="shared" si="8"/>
        <v>0</v>
      </c>
      <c r="N28" s="75"/>
      <c r="O28" s="76"/>
      <c r="P28" s="78">
        <f t="shared" si="9"/>
        <v>0</v>
      </c>
      <c r="Q28" s="79"/>
      <c r="R28" s="36"/>
      <c r="S28" s="37"/>
      <c r="T28" s="80" t="s">
        <v>49</v>
      </c>
      <c r="U28" s="37" t="s">
        <v>49</v>
      </c>
      <c r="V28" s="82" t="s">
        <v>40</v>
      </c>
      <c r="W28" s="83" t="s">
        <v>40</v>
      </c>
    </row>
    <row r="29" spans="2:24" ht="18" customHeight="1" x14ac:dyDescent="0.3">
      <c r="B29" s="25" t="s">
        <v>52</v>
      </c>
      <c r="C29" s="25"/>
      <c r="D29" s="25"/>
      <c r="E29" s="25"/>
      <c r="F29" s="26" t="s">
        <v>53</v>
      </c>
      <c r="G29" s="84" t="s">
        <v>54</v>
      </c>
      <c r="H29" s="28">
        <v>6129</v>
      </c>
      <c r="I29" s="29" t="s">
        <v>55</v>
      </c>
      <c r="J29" s="30" t="s">
        <v>56</v>
      </c>
      <c r="K29" s="75">
        <v>500000</v>
      </c>
      <c r="L29" s="76">
        <v>0</v>
      </c>
      <c r="M29" s="77">
        <f t="shared" si="8"/>
        <v>500000</v>
      </c>
      <c r="N29" s="75">
        <v>500000</v>
      </c>
      <c r="O29" s="76"/>
      <c r="P29" s="78">
        <f t="shared" si="9"/>
        <v>500000</v>
      </c>
      <c r="Q29" s="79"/>
      <c r="R29" s="85">
        <v>45908</v>
      </c>
      <c r="S29" s="86"/>
      <c r="T29" s="87" t="s">
        <v>57</v>
      </c>
      <c r="U29" s="86" t="s">
        <v>58</v>
      </c>
      <c r="V29" s="36" t="s">
        <v>59</v>
      </c>
      <c r="W29" s="88" t="s">
        <v>40</v>
      </c>
      <c r="X29" s="3" t="s">
        <v>60</v>
      </c>
    </row>
    <row r="30" spans="2:24" ht="18" customHeight="1" x14ac:dyDescent="0.3">
      <c r="B30" s="89" t="s">
        <v>61</v>
      </c>
      <c r="C30" s="89"/>
      <c r="D30" s="89"/>
      <c r="E30" s="89"/>
      <c r="F30" s="26" t="s">
        <v>53</v>
      </c>
      <c r="G30" s="84" t="s">
        <v>54</v>
      </c>
      <c r="H30" s="28">
        <v>6129</v>
      </c>
      <c r="I30" s="29" t="s">
        <v>55</v>
      </c>
      <c r="J30" s="30" t="s">
        <v>62</v>
      </c>
      <c r="K30" s="75">
        <v>700000</v>
      </c>
      <c r="L30" s="76">
        <v>0</v>
      </c>
      <c r="M30" s="77">
        <f t="shared" si="8"/>
        <v>700000</v>
      </c>
      <c r="N30" s="75">
        <v>700000</v>
      </c>
      <c r="O30" s="76"/>
      <c r="P30" s="78">
        <f t="shared" si="9"/>
        <v>700000</v>
      </c>
      <c r="Q30" s="79">
        <v>700000</v>
      </c>
      <c r="R30" s="90">
        <v>45926</v>
      </c>
      <c r="S30" s="91">
        <v>46122</v>
      </c>
      <c r="T30" s="82" t="s">
        <v>63</v>
      </c>
      <c r="U30" s="91" t="s">
        <v>64</v>
      </c>
      <c r="V30" s="36" t="s">
        <v>65</v>
      </c>
      <c r="W30" s="88" t="s">
        <v>40</v>
      </c>
      <c r="X30" s="3" t="s">
        <v>60</v>
      </c>
    </row>
    <row r="31" spans="2:24" ht="18" customHeight="1" x14ac:dyDescent="0.3">
      <c r="B31" s="25" t="s">
        <v>66</v>
      </c>
      <c r="C31" s="25"/>
      <c r="D31" s="25"/>
      <c r="E31" s="25"/>
      <c r="F31" s="26" t="s">
        <v>67</v>
      </c>
      <c r="G31" s="84" t="s">
        <v>68</v>
      </c>
      <c r="H31" s="28">
        <v>6229</v>
      </c>
      <c r="I31" s="29" t="s">
        <v>55</v>
      </c>
      <c r="J31" s="30" t="s">
        <v>69</v>
      </c>
      <c r="K31" s="75">
        <v>210000</v>
      </c>
      <c r="L31" s="76">
        <v>0</v>
      </c>
      <c r="M31" s="77">
        <f t="shared" si="8"/>
        <v>210000</v>
      </c>
      <c r="N31" s="75">
        <v>210000</v>
      </c>
      <c r="O31" s="76"/>
      <c r="P31" s="78">
        <f t="shared" si="9"/>
        <v>210000</v>
      </c>
      <c r="Q31" s="79">
        <v>177421</v>
      </c>
      <c r="R31" s="85">
        <v>45926</v>
      </c>
      <c r="S31" s="86">
        <v>46140</v>
      </c>
      <c r="T31" s="87" t="s">
        <v>70</v>
      </c>
      <c r="U31" s="86" t="s">
        <v>71</v>
      </c>
      <c r="V31" s="36" t="s">
        <v>72</v>
      </c>
      <c r="W31" s="88" t="s">
        <v>49</v>
      </c>
      <c r="X31" s="3" t="s">
        <v>60</v>
      </c>
    </row>
    <row r="32" spans="2:24" ht="18" customHeight="1" x14ac:dyDescent="0.3">
      <c r="B32" s="25" t="s">
        <v>73</v>
      </c>
      <c r="C32" s="25"/>
      <c r="D32" s="25"/>
      <c r="E32" s="25"/>
      <c r="F32" s="26" t="s">
        <v>74</v>
      </c>
      <c r="G32" s="84" t="s">
        <v>75</v>
      </c>
      <c r="H32" s="28"/>
      <c r="I32" s="29"/>
      <c r="J32" s="30" t="s">
        <v>76</v>
      </c>
      <c r="K32" s="75">
        <v>2000000</v>
      </c>
      <c r="L32" s="76"/>
      <c r="M32" s="77">
        <f t="shared" si="8"/>
        <v>2000000</v>
      </c>
      <c r="N32" s="75"/>
      <c r="O32" s="76"/>
      <c r="P32" s="78"/>
      <c r="Q32" s="79"/>
      <c r="R32" s="85"/>
      <c r="S32" s="86"/>
      <c r="T32" s="87"/>
      <c r="U32" s="86"/>
      <c r="V32" s="80"/>
      <c r="W32" s="88"/>
    </row>
    <row r="33" spans="2:24" ht="18" customHeight="1" x14ac:dyDescent="0.3">
      <c r="B33" s="89" t="s">
        <v>77</v>
      </c>
      <c r="C33" s="81"/>
      <c r="D33" s="89"/>
      <c r="E33" s="89"/>
      <c r="F33" s="26" t="s">
        <v>49</v>
      </c>
      <c r="G33" s="27" t="s">
        <v>40</v>
      </c>
      <c r="H33" s="28"/>
      <c r="I33" s="29"/>
      <c r="J33" s="30"/>
      <c r="K33" s="75">
        <v>0</v>
      </c>
      <c r="L33" s="76">
        <v>0</v>
      </c>
      <c r="M33" s="77">
        <f t="shared" si="8"/>
        <v>0</v>
      </c>
      <c r="N33" s="75"/>
      <c r="O33" s="76"/>
      <c r="P33" s="78">
        <f t="shared" si="9"/>
        <v>0</v>
      </c>
      <c r="Q33" s="79"/>
      <c r="R33" s="36"/>
      <c r="S33" s="37"/>
      <c r="T33" s="80" t="s">
        <v>49</v>
      </c>
      <c r="U33" s="37" t="s">
        <v>49</v>
      </c>
      <c r="V33" s="82" t="s">
        <v>40</v>
      </c>
      <c r="W33" s="83" t="s">
        <v>40</v>
      </c>
    </row>
    <row r="34" spans="2:24" ht="18" customHeight="1" x14ac:dyDescent="0.3">
      <c r="B34" s="89" t="s">
        <v>78</v>
      </c>
      <c r="C34" s="81"/>
      <c r="D34" s="81"/>
      <c r="E34" s="89"/>
      <c r="F34" s="92" t="s">
        <v>10</v>
      </c>
      <c r="G34" s="27" t="s">
        <v>79</v>
      </c>
      <c r="H34" s="28">
        <v>6061</v>
      </c>
      <c r="I34" s="29" t="s">
        <v>55</v>
      </c>
      <c r="J34" s="30" t="s">
        <v>80</v>
      </c>
      <c r="K34" s="75">
        <v>540000</v>
      </c>
      <c r="L34" s="93">
        <v>60000</v>
      </c>
      <c r="M34" s="77">
        <f t="shared" si="8"/>
        <v>600000</v>
      </c>
      <c r="N34" s="75"/>
      <c r="O34" s="93"/>
      <c r="P34" s="78">
        <f t="shared" si="9"/>
        <v>0</v>
      </c>
      <c r="Q34" s="79"/>
      <c r="R34" s="94"/>
      <c r="S34" s="95"/>
      <c r="T34" s="96" t="s">
        <v>81</v>
      </c>
      <c r="U34" s="97" t="s">
        <v>82</v>
      </c>
      <c r="V34" s="80" t="s">
        <v>83</v>
      </c>
      <c r="W34" s="88" t="s">
        <v>40</v>
      </c>
    </row>
    <row r="35" spans="2:24" s="306" customFormat="1" ht="18" customHeight="1" x14ac:dyDescent="0.3">
      <c r="B35" s="341" t="s">
        <v>84</v>
      </c>
      <c r="C35" s="322"/>
      <c r="D35" s="322"/>
      <c r="E35" s="341"/>
      <c r="F35" s="92" t="s">
        <v>11</v>
      </c>
      <c r="G35" s="308" t="s">
        <v>85</v>
      </c>
      <c r="H35" s="309"/>
      <c r="I35" s="310"/>
      <c r="J35" s="311" t="s">
        <v>86</v>
      </c>
      <c r="K35" s="312"/>
      <c r="L35" s="327"/>
      <c r="M35" s="314"/>
      <c r="N35" s="312"/>
      <c r="O35" s="327">
        <v>3730</v>
      </c>
      <c r="P35" s="315">
        <f t="shared" si="9"/>
        <v>3730</v>
      </c>
      <c r="Q35" s="316">
        <v>3730</v>
      </c>
      <c r="R35" s="328">
        <v>46030</v>
      </c>
      <c r="S35" s="329">
        <v>46034</v>
      </c>
      <c r="T35" s="330"/>
      <c r="U35" s="331"/>
      <c r="V35" s="320"/>
      <c r="W35" s="321"/>
    </row>
    <row r="36" spans="2:24" ht="18" customHeight="1" x14ac:dyDescent="0.3">
      <c r="B36" s="89" t="s">
        <v>87</v>
      </c>
      <c r="C36" s="81"/>
      <c r="D36" s="81"/>
      <c r="E36" s="89"/>
      <c r="F36" s="26" t="s">
        <v>88</v>
      </c>
      <c r="G36" s="27" t="s">
        <v>89</v>
      </c>
      <c r="H36" s="28"/>
      <c r="I36" s="29"/>
      <c r="J36" s="30" t="s">
        <v>90</v>
      </c>
      <c r="K36" s="75"/>
      <c r="L36" s="98"/>
      <c r="M36" s="77"/>
      <c r="N36" s="75">
        <v>60000</v>
      </c>
      <c r="O36" s="98"/>
      <c r="P36" s="78">
        <f t="shared" si="9"/>
        <v>60000</v>
      </c>
      <c r="Q36" s="79"/>
      <c r="R36" s="94">
        <v>46049</v>
      </c>
      <c r="S36" s="95"/>
      <c r="T36" s="96"/>
      <c r="U36" s="99"/>
      <c r="V36" s="80"/>
      <c r="W36" s="88"/>
    </row>
    <row r="37" spans="2:24" s="306" customFormat="1" ht="18" customHeight="1" x14ac:dyDescent="0.3">
      <c r="B37" s="341" t="s">
        <v>91</v>
      </c>
      <c r="C37" s="322"/>
      <c r="D37" s="322"/>
      <c r="E37" s="341"/>
      <c r="F37" s="92" t="s">
        <v>11</v>
      </c>
      <c r="G37" s="308" t="s">
        <v>85</v>
      </c>
      <c r="H37" s="309"/>
      <c r="I37" s="310"/>
      <c r="J37" s="311" t="s">
        <v>92</v>
      </c>
      <c r="K37" s="312"/>
      <c r="L37" s="327"/>
      <c r="M37" s="314"/>
      <c r="N37" s="312">
        <v>9240</v>
      </c>
      <c r="O37" s="327"/>
      <c r="P37" s="315">
        <f t="shared" si="9"/>
        <v>9240</v>
      </c>
      <c r="Q37" s="316">
        <v>9240</v>
      </c>
      <c r="R37" s="328">
        <v>46048</v>
      </c>
      <c r="S37" s="329">
        <v>46086</v>
      </c>
      <c r="T37" s="330"/>
      <c r="U37" s="331"/>
      <c r="V37" s="320"/>
      <c r="W37" s="321"/>
    </row>
    <row r="38" spans="2:24" ht="18" customHeight="1" x14ac:dyDescent="0.3">
      <c r="B38" s="89" t="s">
        <v>93</v>
      </c>
      <c r="C38" s="81"/>
      <c r="D38" s="81"/>
      <c r="E38" s="89"/>
      <c r="F38" s="26" t="s">
        <v>94</v>
      </c>
      <c r="G38" s="27" t="s">
        <v>89</v>
      </c>
      <c r="H38" s="28"/>
      <c r="I38" s="29"/>
      <c r="J38" s="30" t="s">
        <v>95</v>
      </c>
      <c r="K38" s="75"/>
      <c r="L38" s="98"/>
      <c r="M38" s="77"/>
      <c r="N38" s="75"/>
      <c r="O38" s="98">
        <v>10400</v>
      </c>
      <c r="P38" s="78">
        <f t="shared" si="9"/>
        <v>10400</v>
      </c>
      <c r="Q38" s="79"/>
      <c r="R38" s="94">
        <v>46086</v>
      </c>
      <c r="S38" s="95"/>
      <c r="T38" s="96"/>
      <c r="U38" s="99"/>
      <c r="V38" s="80"/>
      <c r="W38" s="88"/>
    </row>
    <row r="39" spans="2:24" ht="18" customHeight="1" x14ac:dyDescent="0.3">
      <c r="B39" s="89" t="s">
        <v>96</v>
      </c>
      <c r="C39" s="25"/>
      <c r="D39" s="89"/>
      <c r="E39" s="89"/>
      <c r="F39" s="26" t="s">
        <v>67</v>
      </c>
      <c r="G39" s="84" t="s">
        <v>68</v>
      </c>
      <c r="H39" s="28">
        <v>6229</v>
      </c>
      <c r="I39" s="29" t="s">
        <v>55</v>
      </c>
      <c r="J39" s="30" t="s">
        <v>97</v>
      </c>
      <c r="K39" s="75">
        <v>85000</v>
      </c>
      <c r="L39" s="76">
        <v>0</v>
      </c>
      <c r="M39" s="77">
        <f t="shared" si="8"/>
        <v>85000</v>
      </c>
      <c r="N39" s="75">
        <v>85000</v>
      </c>
      <c r="O39" s="76"/>
      <c r="P39" s="78">
        <f t="shared" si="9"/>
        <v>85000</v>
      </c>
      <c r="Q39" s="79">
        <v>83000</v>
      </c>
      <c r="R39" s="90">
        <v>45915</v>
      </c>
      <c r="S39" s="91">
        <v>46013</v>
      </c>
      <c r="T39" s="82" t="s">
        <v>70</v>
      </c>
      <c r="U39" s="91" t="s">
        <v>98</v>
      </c>
      <c r="V39" s="36" t="s">
        <v>65</v>
      </c>
      <c r="W39" s="88" t="s">
        <v>49</v>
      </c>
      <c r="X39" s="3" t="s">
        <v>60</v>
      </c>
    </row>
    <row r="40" spans="2:24" ht="18" customHeight="1" x14ac:dyDescent="0.3">
      <c r="B40" s="100" t="s">
        <v>99</v>
      </c>
      <c r="C40" s="89"/>
      <c r="D40" s="89"/>
      <c r="E40" s="100"/>
      <c r="F40" s="26" t="s">
        <v>100</v>
      </c>
      <c r="G40" s="27" t="s">
        <v>68</v>
      </c>
      <c r="H40" s="28">
        <v>6329</v>
      </c>
      <c r="I40" s="29" t="s">
        <v>55</v>
      </c>
      <c r="J40" s="30" t="s">
        <v>101</v>
      </c>
      <c r="K40" s="75">
        <v>100000</v>
      </c>
      <c r="L40" s="76">
        <v>0</v>
      </c>
      <c r="M40" s="77">
        <f t="shared" si="8"/>
        <v>100000</v>
      </c>
      <c r="N40" s="75"/>
      <c r="O40" s="76"/>
      <c r="P40" s="78">
        <f t="shared" si="9"/>
        <v>0</v>
      </c>
      <c r="Q40" s="79"/>
      <c r="R40" s="101"/>
      <c r="S40" s="102"/>
      <c r="T40" s="103" t="s">
        <v>102</v>
      </c>
      <c r="U40" s="102" t="s">
        <v>103</v>
      </c>
      <c r="V40" s="36" t="s">
        <v>65</v>
      </c>
      <c r="W40" s="88" t="s">
        <v>49</v>
      </c>
    </row>
    <row r="41" spans="2:24" ht="18" customHeight="1" x14ac:dyDescent="0.3">
      <c r="B41" s="100" t="s">
        <v>104</v>
      </c>
      <c r="C41" s="89"/>
      <c r="D41" s="89"/>
      <c r="E41" s="100"/>
      <c r="F41" s="26" t="s">
        <v>74</v>
      </c>
      <c r="G41" s="27" t="s">
        <v>68</v>
      </c>
      <c r="H41" s="28"/>
      <c r="I41" s="29"/>
      <c r="J41" s="30" t="s">
        <v>105</v>
      </c>
      <c r="K41" s="75"/>
      <c r="L41" s="76">
        <v>37000</v>
      </c>
      <c r="M41" s="77">
        <f t="shared" si="8"/>
        <v>37000</v>
      </c>
      <c r="N41" s="75"/>
      <c r="O41" s="76"/>
      <c r="P41" s="78"/>
      <c r="Q41" s="79"/>
      <c r="R41" s="104"/>
      <c r="S41" s="105"/>
      <c r="T41" s="106"/>
      <c r="U41" s="105"/>
      <c r="V41" s="80"/>
      <c r="W41" s="88"/>
    </row>
    <row r="42" spans="2:24" ht="18" customHeight="1" x14ac:dyDescent="0.3">
      <c r="B42" s="89" t="s">
        <v>106</v>
      </c>
      <c r="C42" s="81"/>
      <c r="D42" s="89"/>
      <c r="E42" s="89"/>
      <c r="F42" s="26" t="s">
        <v>49</v>
      </c>
      <c r="G42" s="27" t="s">
        <v>49</v>
      </c>
      <c r="H42" s="28"/>
      <c r="I42" s="29"/>
      <c r="J42" s="30"/>
      <c r="K42" s="75">
        <v>0</v>
      </c>
      <c r="L42" s="76">
        <v>0</v>
      </c>
      <c r="M42" s="77">
        <f t="shared" si="8"/>
        <v>0</v>
      </c>
      <c r="N42" s="75"/>
      <c r="O42" s="76"/>
      <c r="P42" s="78">
        <f t="shared" si="9"/>
        <v>0</v>
      </c>
      <c r="Q42" s="79"/>
      <c r="R42" s="36"/>
      <c r="S42" s="37"/>
      <c r="T42" s="80" t="s">
        <v>49</v>
      </c>
      <c r="U42" s="37" t="s">
        <v>49</v>
      </c>
      <c r="V42" s="82" t="s">
        <v>40</v>
      </c>
      <c r="W42" s="88" t="s">
        <v>49</v>
      </c>
    </row>
    <row r="43" spans="2:24" ht="18" customHeight="1" x14ac:dyDescent="0.3">
      <c r="B43" s="25" t="s">
        <v>107</v>
      </c>
      <c r="C43" s="81"/>
      <c r="D43" s="81"/>
      <c r="E43" s="25"/>
      <c r="F43" s="92" t="s">
        <v>10</v>
      </c>
      <c r="G43" s="27" t="s">
        <v>79</v>
      </c>
      <c r="H43" s="28">
        <v>6061</v>
      </c>
      <c r="I43" s="29" t="s">
        <v>108</v>
      </c>
      <c r="J43" s="30" t="s">
        <v>109</v>
      </c>
      <c r="K43" s="75">
        <v>50000</v>
      </c>
      <c r="L43" s="93">
        <v>50000</v>
      </c>
      <c r="M43" s="77">
        <f t="shared" si="8"/>
        <v>100000</v>
      </c>
      <c r="N43" s="75"/>
      <c r="O43" s="93"/>
      <c r="P43" s="78">
        <f t="shared" si="9"/>
        <v>0</v>
      </c>
      <c r="Q43" s="79"/>
      <c r="R43" s="94"/>
      <c r="S43" s="95"/>
      <c r="T43" s="96" t="s">
        <v>81</v>
      </c>
      <c r="U43" s="97" t="s">
        <v>82</v>
      </c>
      <c r="V43" s="80" t="s">
        <v>43</v>
      </c>
      <c r="W43" s="88" t="s">
        <v>49</v>
      </c>
    </row>
    <row r="44" spans="2:24" ht="18" customHeight="1" x14ac:dyDescent="0.3">
      <c r="B44" s="25" t="s">
        <v>110</v>
      </c>
      <c r="C44" s="81"/>
      <c r="D44" s="81"/>
      <c r="E44" s="25"/>
      <c r="F44" s="92" t="s">
        <v>10</v>
      </c>
      <c r="G44" s="27" t="s">
        <v>79</v>
      </c>
      <c r="H44" s="28">
        <v>6061</v>
      </c>
      <c r="I44" s="29" t="s">
        <v>55</v>
      </c>
      <c r="J44" s="30" t="s">
        <v>111</v>
      </c>
      <c r="K44" s="75">
        <v>650000</v>
      </c>
      <c r="L44" s="93">
        <v>50000</v>
      </c>
      <c r="M44" s="77">
        <f t="shared" si="8"/>
        <v>700000</v>
      </c>
      <c r="N44" s="75"/>
      <c r="O44" s="93"/>
      <c r="P44" s="78">
        <f t="shared" si="9"/>
        <v>0</v>
      </c>
      <c r="Q44" s="79"/>
      <c r="R44" s="94"/>
      <c r="S44" s="95"/>
      <c r="T44" s="96" t="s">
        <v>81</v>
      </c>
      <c r="U44" s="97" t="s">
        <v>82</v>
      </c>
      <c r="V44" s="80" t="s">
        <v>43</v>
      </c>
      <c r="W44" s="88" t="s">
        <v>49</v>
      </c>
    </row>
    <row r="45" spans="2:24" ht="18" customHeight="1" x14ac:dyDescent="0.3">
      <c r="B45" s="25" t="s">
        <v>112</v>
      </c>
      <c r="C45" s="81"/>
      <c r="D45" s="81"/>
      <c r="E45" s="25"/>
      <c r="F45" s="92" t="s">
        <v>10</v>
      </c>
      <c r="G45" s="27" t="s">
        <v>79</v>
      </c>
      <c r="H45" s="28">
        <v>6061</v>
      </c>
      <c r="I45" s="29" t="s">
        <v>55</v>
      </c>
      <c r="J45" s="30" t="s">
        <v>113</v>
      </c>
      <c r="K45" s="75">
        <v>270000</v>
      </c>
      <c r="L45" s="93">
        <v>30000</v>
      </c>
      <c r="M45" s="77">
        <f t="shared" si="8"/>
        <v>300000</v>
      </c>
      <c r="N45" s="75"/>
      <c r="O45" s="93"/>
      <c r="P45" s="78">
        <f t="shared" si="9"/>
        <v>0</v>
      </c>
      <c r="Q45" s="79"/>
      <c r="R45" s="94"/>
      <c r="S45" s="95"/>
      <c r="T45" s="96" t="s">
        <v>81</v>
      </c>
      <c r="U45" s="97" t="s">
        <v>82</v>
      </c>
      <c r="V45" s="80" t="s">
        <v>43</v>
      </c>
      <c r="W45" s="88" t="s">
        <v>49</v>
      </c>
    </row>
    <row r="46" spans="2:24" ht="18" customHeight="1" x14ac:dyDescent="0.3">
      <c r="B46" s="25" t="s">
        <v>114</v>
      </c>
      <c r="C46" s="81"/>
      <c r="D46" s="81"/>
      <c r="E46" s="25"/>
      <c r="F46" s="92" t="s">
        <v>10</v>
      </c>
      <c r="G46" s="27" t="s">
        <v>79</v>
      </c>
      <c r="H46" s="28">
        <v>6061</v>
      </c>
      <c r="I46" s="29" t="s">
        <v>108</v>
      </c>
      <c r="J46" s="30" t="s">
        <v>115</v>
      </c>
      <c r="K46" s="75">
        <v>0</v>
      </c>
      <c r="L46" s="93">
        <v>100000</v>
      </c>
      <c r="M46" s="77">
        <f t="shared" si="8"/>
        <v>100000</v>
      </c>
      <c r="N46" s="75"/>
      <c r="O46" s="93"/>
      <c r="P46" s="78">
        <f t="shared" si="9"/>
        <v>0</v>
      </c>
      <c r="Q46" s="79"/>
      <c r="R46" s="94"/>
      <c r="S46" s="95"/>
      <c r="T46" s="96" t="s">
        <v>81</v>
      </c>
      <c r="U46" s="97" t="s">
        <v>82</v>
      </c>
      <c r="V46" s="80" t="s">
        <v>83</v>
      </c>
      <c r="W46" s="88" t="s">
        <v>49</v>
      </c>
    </row>
    <row r="47" spans="2:24" ht="18" customHeight="1" x14ac:dyDescent="0.3">
      <c r="B47" s="25" t="s">
        <v>116</v>
      </c>
      <c r="C47" s="81"/>
      <c r="D47" s="81"/>
      <c r="E47" s="25"/>
      <c r="F47" s="92" t="s">
        <v>10</v>
      </c>
      <c r="G47" s="27" t="s">
        <v>79</v>
      </c>
      <c r="H47" s="28">
        <v>6061</v>
      </c>
      <c r="I47" s="29" t="s">
        <v>55</v>
      </c>
      <c r="J47" s="30" t="s">
        <v>117</v>
      </c>
      <c r="K47" s="75">
        <v>200000</v>
      </c>
      <c r="L47" s="93">
        <v>0</v>
      </c>
      <c r="M47" s="77">
        <f t="shared" si="8"/>
        <v>200000</v>
      </c>
      <c r="N47" s="75"/>
      <c r="O47" s="93"/>
      <c r="P47" s="78">
        <f t="shared" si="9"/>
        <v>0</v>
      </c>
      <c r="Q47" s="79"/>
      <c r="R47" s="94"/>
      <c r="S47" s="95"/>
      <c r="T47" s="96" t="s">
        <v>81</v>
      </c>
      <c r="U47" s="97" t="s">
        <v>82</v>
      </c>
      <c r="V47" s="80" t="s">
        <v>83</v>
      </c>
      <c r="W47" s="88" t="s">
        <v>49</v>
      </c>
    </row>
    <row r="48" spans="2:24" ht="18" customHeight="1" x14ac:dyDescent="0.3">
      <c r="B48" s="89" t="s">
        <v>118</v>
      </c>
      <c r="C48" s="89"/>
      <c r="D48" s="89"/>
      <c r="E48" s="89"/>
      <c r="F48" s="26" t="s">
        <v>53</v>
      </c>
      <c r="G48" s="84" t="s">
        <v>54</v>
      </c>
      <c r="H48" s="28">
        <v>6129</v>
      </c>
      <c r="I48" s="29" t="s">
        <v>55</v>
      </c>
      <c r="J48" s="30" t="s">
        <v>119</v>
      </c>
      <c r="K48" s="75">
        <v>70000</v>
      </c>
      <c r="L48" s="76">
        <v>0</v>
      </c>
      <c r="M48" s="77">
        <f t="shared" si="8"/>
        <v>70000</v>
      </c>
      <c r="N48" s="75">
        <v>70000</v>
      </c>
      <c r="O48" s="76"/>
      <c r="P48" s="78">
        <f t="shared" si="9"/>
        <v>70000</v>
      </c>
      <c r="Q48" s="79"/>
      <c r="R48" s="90">
        <v>46051</v>
      </c>
      <c r="S48" s="91"/>
      <c r="T48" s="82" t="s">
        <v>63</v>
      </c>
      <c r="U48" s="91" t="s">
        <v>64</v>
      </c>
      <c r="V48" s="36" t="s">
        <v>65</v>
      </c>
      <c r="W48" s="88" t="s">
        <v>49</v>
      </c>
    </row>
    <row r="49" spans="2:24" ht="18" customHeight="1" x14ac:dyDescent="0.3">
      <c r="B49" s="89" t="s">
        <v>120</v>
      </c>
      <c r="C49" s="89"/>
      <c r="D49" s="89"/>
      <c r="E49" s="89"/>
      <c r="F49" s="26" t="s">
        <v>53</v>
      </c>
      <c r="G49" s="84" t="s">
        <v>121</v>
      </c>
      <c r="H49" s="28">
        <v>6121</v>
      </c>
      <c r="I49" s="29" t="s">
        <v>55</v>
      </c>
      <c r="J49" s="30" t="s">
        <v>122</v>
      </c>
      <c r="K49" s="75">
        <v>86000</v>
      </c>
      <c r="L49" s="76">
        <v>0</v>
      </c>
      <c r="M49" s="77">
        <f t="shared" si="8"/>
        <v>86000</v>
      </c>
      <c r="N49" s="75"/>
      <c r="O49" s="76"/>
      <c r="P49" s="78">
        <f t="shared" si="9"/>
        <v>0</v>
      </c>
      <c r="Q49" s="79"/>
      <c r="R49" s="90"/>
      <c r="S49" s="91"/>
      <c r="T49" s="82" t="s">
        <v>63</v>
      </c>
      <c r="U49" s="91" t="s">
        <v>123</v>
      </c>
      <c r="V49" s="36" t="s">
        <v>65</v>
      </c>
      <c r="W49" s="88" t="s">
        <v>49</v>
      </c>
    </row>
    <row r="50" spans="2:24" ht="18" customHeight="1" x14ac:dyDescent="0.3">
      <c r="B50" s="89" t="s">
        <v>124</v>
      </c>
      <c r="C50" s="89"/>
      <c r="D50" s="89"/>
      <c r="E50" s="89"/>
      <c r="F50" s="26"/>
      <c r="G50" s="84"/>
      <c r="H50" s="28"/>
      <c r="I50" s="29"/>
      <c r="J50" s="30"/>
      <c r="K50" s="75"/>
      <c r="L50" s="76"/>
      <c r="M50" s="77"/>
      <c r="N50" s="75">
        <v>73895</v>
      </c>
      <c r="O50" s="76"/>
      <c r="P50" s="78">
        <f t="shared" si="9"/>
        <v>73895</v>
      </c>
      <c r="Q50" s="79">
        <v>68581</v>
      </c>
      <c r="R50" s="90">
        <v>45960</v>
      </c>
      <c r="S50" s="91">
        <v>46086</v>
      </c>
      <c r="T50" s="82"/>
      <c r="U50" s="91"/>
      <c r="V50" s="36"/>
      <c r="W50" s="88"/>
      <c r="X50" s="3" t="s">
        <v>60</v>
      </c>
    </row>
    <row r="51" spans="2:24" ht="18" customHeight="1" x14ac:dyDescent="0.3">
      <c r="B51" s="89" t="s">
        <v>125</v>
      </c>
      <c r="C51" s="89"/>
      <c r="D51" s="89"/>
      <c r="E51" s="89"/>
      <c r="F51" s="26" t="s">
        <v>53</v>
      </c>
      <c r="G51" s="84" t="s">
        <v>126</v>
      </c>
      <c r="H51" s="28">
        <v>6122</v>
      </c>
      <c r="I51" s="29" t="s">
        <v>55</v>
      </c>
      <c r="J51" s="30" t="s">
        <v>127</v>
      </c>
      <c r="K51" s="75">
        <v>86000</v>
      </c>
      <c r="L51" s="76">
        <v>0</v>
      </c>
      <c r="M51" s="77">
        <f t="shared" si="8"/>
        <v>86000</v>
      </c>
      <c r="N51" s="75">
        <v>84000</v>
      </c>
      <c r="O51" s="76"/>
      <c r="P51" s="78">
        <f t="shared" si="9"/>
        <v>84000</v>
      </c>
      <c r="Q51" s="79"/>
      <c r="R51" s="90">
        <v>45974</v>
      </c>
      <c r="S51" s="91"/>
      <c r="T51" s="82" t="s">
        <v>102</v>
      </c>
      <c r="U51" s="91" t="s">
        <v>128</v>
      </c>
      <c r="V51" s="36" t="s">
        <v>65</v>
      </c>
      <c r="W51" s="88" t="s">
        <v>49</v>
      </c>
      <c r="X51" s="3" t="s">
        <v>60</v>
      </c>
    </row>
    <row r="52" spans="2:24" ht="18" customHeight="1" x14ac:dyDescent="0.3">
      <c r="B52" s="89" t="s">
        <v>129</v>
      </c>
      <c r="C52" s="89"/>
      <c r="D52" s="89"/>
      <c r="E52" s="89"/>
      <c r="F52" s="26" t="s">
        <v>53</v>
      </c>
      <c r="G52" s="84" t="s">
        <v>121</v>
      </c>
      <c r="H52" s="28">
        <v>6121</v>
      </c>
      <c r="I52" s="29" t="s">
        <v>108</v>
      </c>
      <c r="J52" s="30" t="s">
        <v>130</v>
      </c>
      <c r="K52" s="75">
        <v>0</v>
      </c>
      <c r="L52" s="76">
        <v>30000</v>
      </c>
      <c r="M52" s="77">
        <f t="shared" si="8"/>
        <v>30000</v>
      </c>
      <c r="N52" s="75"/>
      <c r="O52" s="76">
        <v>30000</v>
      </c>
      <c r="P52" s="78">
        <f t="shared" si="9"/>
        <v>30000</v>
      </c>
      <c r="Q52" s="79">
        <v>30000</v>
      </c>
      <c r="R52" s="90">
        <v>45912</v>
      </c>
      <c r="S52" s="91">
        <v>46006</v>
      </c>
      <c r="T52" s="82" t="s">
        <v>131</v>
      </c>
      <c r="U52" s="91" t="s">
        <v>123</v>
      </c>
      <c r="V52" s="36" t="s">
        <v>65</v>
      </c>
      <c r="W52" s="88" t="s">
        <v>49</v>
      </c>
      <c r="X52" s="3" t="s">
        <v>60</v>
      </c>
    </row>
    <row r="53" spans="2:24" ht="18" customHeight="1" x14ac:dyDescent="0.3">
      <c r="B53" s="25" t="s">
        <v>132</v>
      </c>
      <c r="C53" s="25"/>
      <c r="D53" s="25"/>
      <c r="E53" s="25"/>
      <c r="F53" s="26" t="s">
        <v>67</v>
      </c>
      <c r="G53" s="84" t="s">
        <v>68</v>
      </c>
      <c r="H53" s="28">
        <v>6229</v>
      </c>
      <c r="I53" s="29" t="s">
        <v>55</v>
      </c>
      <c r="J53" s="30" t="s">
        <v>133</v>
      </c>
      <c r="K53" s="75">
        <v>55000</v>
      </c>
      <c r="L53" s="76">
        <v>0</v>
      </c>
      <c r="M53" s="77">
        <f t="shared" si="8"/>
        <v>55000</v>
      </c>
      <c r="N53" s="75"/>
      <c r="O53" s="76"/>
      <c r="P53" s="78">
        <f t="shared" si="9"/>
        <v>0</v>
      </c>
      <c r="Q53" s="79"/>
      <c r="R53" s="90"/>
      <c r="S53" s="91"/>
      <c r="T53" s="82" t="s">
        <v>102</v>
      </c>
      <c r="U53" s="91" t="s">
        <v>134</v>
      </c>
      <c r="V53" s="36" t="s">
        <v>65</v>
      </c>
      <c r="W53" s="88" t="s">
        <v>49</v>
      </c>
    </row>
    <row r="54" spans="2:24" ht="18" customHeight="1" x14ac:dyDescent="0.3">
      <c r="B54" s="25" t="s">
        <v>135</v>
      </c>
      <c r="C54" s="25"/>
      <c r="D54" s="25"/>
      <c r="E54" s="25"/>
      <c r="F54" s="26"/>
      <c r="G54" s="84"/>
      <c r="H54" s="28"/>
      <c r="I54" s="29"/>
      <c r="J54" s="30"/>
      <c r="K54" s="75"/>
      <c r="L54" s="76"/>
      <c r="M54" s="77"/>
      <c r="N54" s="75">
        <v>42000</v>
      </c>
      <c r="O54" s="76"/>
      <c r="P54" s="78">
        <f t="shared" si="9"/>
        <v>42000</v>
      </c>
      <c r="Q54" s="79"/>
      <c r="R54" s="90">
        <v>46041</v>
      </c>
      <c r="S54" s="91"/>
      <c r="T54" s="82"/>
      <c r="U54" s="91"/>
      <c r="V54" s="36"/>
      <c r="W54" s="88"/>
    </row>
    <row r="55" spans="2:24" ht="18" customHeight="1" x14ac:dyDescent="0.3">
      <c r="B55" s="25" t="s">
        <v>136</v>
      </c>
      <c r="C55" s="25"/>
      <c r="D55" s="25"/>
      <c r="E55" s="25"/>
      <c r="F55" s="26"/>
      <c r="G55" s="84"/>
      <c r="H55" s="28"/>
      <c r="I55" s="29"/>
      <c r="J55" s="30"/>
      <c r="K55" s="75"/>
      <c r="L55" s="76"/>
      <c r="M55" s="77"/>
      <c r="N55" s="75"/>
      <c r="O55" s="76">
        <v>13000</v>
      </c>
      <c r="P55" s="78">
        <f t="shared" si="9"/>
        <v>13000</v>
      </c>
      <c r="Q55" s="79"/>
      <c r="R55" s="90">
        <v>46084</v>
      </c>
      <c r="S55" s="91"/>
      <c r="T55" s="82"/>
      <c r="U55" s="91"/>
      <c r="V55" s="36"/>
      <c r="W55" s="88"/>
    </row>
    <row r="56" spans="2:24" ht="18" customHeight="1" x14ac:dyDescent="0.3">
      <c r="B56" s="25" t="s">
        <v>137</v>
      </c>
      <c r="C56" s="25"/>
      <c r="D56" s="25"/>
      <c r="E56" s="25"/>
      <c r="F56" s="26" t="s">
        <v>138</v>
      </c>
      <c r="G56" s="27" t="s">
        <v>68</v>
      </c>
      <c r="H56" s="28">
        <v>6429</v>
      </c>
      <c r="I56" s="29" t="s">
        <v>55</v>
      </c>
      <c r="J56" s="30" t="s">
        <v>139</v>
      </c>
      <c r="K56" s="75">
        <v>340000</v>
      </c>
      <c r="L56" s="76">
        <v>0</v>
      </c>
      <c r="M56" s="77">
        <f t="shared" si="8"/>
        <v>340000</v>
      </c>
      <c r="N56" s="75">
        <v>340000</v>
      </c>
      <c r="O56" s="76"/>
      <c r="P56" s="78">
        <f t="shared" si="9"/>
        <v>340000</v>
      </c>
      <c r="Q56" s="79">
        <v>338800</v>
      </c>
      <c r="R56" s="90">
        <v>45915</v>
      </c>
      <c r="S56" s="91">
        <v>46113</v>
      </c>
      <c r="T56" s="82" t="s">
        <v>102</v>
      </c>
      <c r="U56" s="91" t="s">
        <v>103</v>
      </c>
      <c r="V56" s="36" t="s">
        <v>65</v>
      </c>
      <c r="W56" s="88" t="s">
        <v>49</v>
      </c>
      <c r="X56" s="3" t="s">
        <v>60</v>
      </c>
    </row>
    <row r="57" spans="2:24" ht="18" customHeight="1" x14ac:dyDescent="0.3">
      <c r="B57" s="25" t="s">
        <v>140</v>
      </c>
      <c r="C57" s="25"/>
      <c r="D57" s="25"/>
      <c r="E57" s="25"/>
      <c r="F57" s="26" t="s">
        <v>138</v>
      </c>
      <c r="G57" s="27" t="s">
        <v>68</v>
      </c>
      <c r="H57" s="28">
        <v>6429</v>
      </c>
      <c r="I57" s="29" t="s">
        <v>55</v>
      </c>
      <c r="J57" s="30" t="s">
        <v>141</v>
      </c>
      <c r="K57" s="75">
        <v>250000</v>
      </c>
      <c r="L57" s="76">
        <v>0</v>
      </c>
      <c r="M57" s="77">
        <f t="shared" si="8"/>
        <v>250000</v>
      </c>
      <c r="N57" s="75">
        <v>250000</v>
      </c>
      <c r="O57" s="76"/>
      <c r="P57" s="78">
        <f t="shared" si="9"/>
        <v>250000</v>
      </c>
      <c r="Q57" s="79"/>
      <c r="R57" s="90">
        <v>45923</v>
      </c>
      <c r="S57" s="91"/>
      <c r="T57" s="82" t="s">
        <v>142</v>
      </c>
      <c r="U57" s="91" t="s">
        <v>143</v>
      </c>
      <c r="V57" s="36" t="s">
        <v>65</v>
      </c>
      <c r="W57" s="88" t="s">
        <v>49</v>
      </c>
      <c r="X57" s="3" t="s">
        <v>60</v>
      </c>
    </row>
    <row r="58" spans="2:24" ht="18" customHeight="1" x14ac:dyDescent="0.3">
      <c r="B58" s="25" t="s">
        <v>144</v>
      </c>
      <c r="C58" s="25"/>
      <c r="D58" s="25"/>
      <c r="E58" s="25"/>
      <c r="F58" s="26" t="s">
        <v>138</v>
      </c>
      <c r="G58" s="27" t="s">
        <v>68</v>
      </c>
      <c r="H58" s="28">
        <v>6429</v>
      </c>
      <c r="I58" s="29" t="s">
        <v>55</v>
      </c>
      <c r="J58" s="30" t="s">
        <v>145</v>
      </c>
      <c r="K58" s="75">
        <v>190000</v>
      </c>
      <c r="L58" s="76">
        <v>0</v>
      </c>
      <c r="M58" s="77">
        <f t="shared" si="8"/>
        <v>190000</v>
      </c>
      <c r="N58" s="75">
        <v>190000</v>
      </c>
      <c r="O58" s="76"/>
      <c r="P58" s="78">
        <f t="shared" si="9"/>
        <v>190000</v>
      </c>
      <c r="Q58" s="79">
        <v>156252</v>
      </c>
      <c r="R58" s="90">
        <v>45908</v>
      </c>
      <c r="S58" s="91">
        <v>46108</v>
      </c>
      <c r="T58" s="82" t="s">
        <v>102</v>
      </c>
      <c r="U58" s="91" t="s">
        <v>103</v>
      </c>
      <c r="V58" s="36" t="s">
        <v>146</v>
      </c>
      <c r="W58" s="88" t="s">
        <v>49</v>
      </c>
      <c r="X58" s="3" t="s">
        <v>60</v>
      </c>
    </row>
    <row r="59" spans="2:24" ht="18" customHeight="1" x14ac:dyDescent="0.3">
      <c r="B59" s="3" t="s">
        <v>147</v>
      </c>
      <c r="C59" s="25"/>
      <c r="D59" s="25"/>
      <c r="F59" s="26" t="s">
        <v>100</v>
      </c>
      <c r="G59" s="27" t="s">
        <v>68</v>
      </c>
      <c r="H59" s="28">
        <v>6329</v>
      </c>
      <c r="I59" s="29" t="s">
        <v>55</v>
      </c>
      <c r="J59" s="30" t="s">
        <v>148</v>
      </c>
      <c r="K59" s="75">
        <v>100000</v>
      </c>
      <c r="L59" s="76">
        <v>0</v>
      </c>
      <c r="M59" s="77">
        <f t="shared" si="8"/>
        <v>100000</v>
      </c>
      <c r="N59" s="75">
        <v>100000</v>
      </c>
      <c r="O59" s="76"/>
      <c r="P59" s="78">
        <f t="shared" si="9"/>
        <v>100000</v>
      </c>
      <c r="Q59" s="79"/>
      <c r="R59" s="107">
        <v>45979</v>
      </c>
      <c r="S59" s="108"/>
      <c r="T59" s="109" t="s">
        <v>63</v>
      </c>
      <c r="U59" s="108" t="s">
        <v>149</v>
      </c>
      <c r="V59" s="36" t="s">
        <v>65</v>
      </c>
      <c r="W59" s="88" t="s">
        <v>49</v>
      </c>
      <c r="X59" s="3" t="s">
        <v>60</v>
      </c>
    </row>
    <row r="60" spans="2:24" ht="18" customHeight="1" x14ac:dyDescent="0.3">
      <c r="B60" s="3" t="s">
        <v>150</v>
      </c>
      <c r="C60" s="25"/>
      <c r="D60" s="25"/>
      <c r="F60" s="26" t="s">
        <v>100</v>
      </c>
      <c r="G60" s="27" t="s">
        <v>68</v>
      </c>
      <c r="H60" s="28">
        <v>6329</v>
      </c>
      <c r="I60" s="29" t="s">
        <v>55</v>
      </c>
      <c r="J60" s="30" t="s">
        <v>151</v>
      </c>
      <c r="K60" s="75">
        <v>100000</v>
      </c>
      <c r="L60" s="76">
        <v>0</v>
      </c>
      <c r="M60" s="77">
        <f t="shared" si="8"/>
        <v>100000</v>
      </c>
      <c r="N60" s="75"/>
      <c r="O60" s="76"/>
      <c r="P60" s="78">
        <f t="shared" si="9"/>
        <v>0</v>
      </c>
      <c r="Q60" s="79"/>
      <c r="R60" s="107"/>
      <c r="S60" s="108"/>
      <c r="T60" s="109" t="s">
        <v>63</v>
      </c>
      <c r="U60" s="108" t="s">
        <v>149</v>
      </c>
      <c r="V60" s="36" t="s">
        <v>65</v>
      </c>
      <c r="W60" s="88" t="s">
        <v>49</v>
      </c>
    </row>
    <row r="61" spans="2:24" ht="18" customHeight="1" x14ac:dyDescent="0.3">
      <c r="B61" s="3" t="s">
        <v>152</v>
      </c>
      <c r="C61" s="25"/>
      <c r="D61" s="25"/>
      <c r="F61" s="26"/>
      <c r="G61" s="27"/>
      <c r="H61" s="28"/>
      <c r="I61" s="29"/>
      <c r="J61" s="30"/>
      <c r="K61" s="75"/>
      <c r="L61" s="76"/>
      <c r="M61" s="77"/>
      <c r="N61" s="75">
        <v>10000</v>
      </c>
      <c r="O61" s="76"/>
      <c r="P61" s="78">
        <f t="shared" si="9"/>
        <v>10000</v>
      </c>
      <c r="Q61" s="79">
        <v>10000</v>
      </c>
      <c r="R61" s="107">
        <v>45968</v>
      </c>
      <c r="S61" s="108">
        <v>46015</v>
      </c>
      <c r="T61" s="109"/>
      <c r="U61" s="108"/>
      <c r="V61" s="36"/>
      <c r="W61" s="88"/>
      <c r="X61" s="3" t="s">
        <v>60</v>
      </c>
    </row>
    <row r="62" spans="2:24" ht="18" customHeight="1" x14ac:dyDescent="0.3">
      <c r="B62" s="3" t="s">
        <v>153</v>
      </c>
      <c r="C62" s="25"/>
      <c r="D62" s="25"/>
      <c r="F62" s="26"/>
      <c r="G62" s="27"/>
      <c r="H62" s="28"/>
      <c r="I62" s="29"/>
      <c r="J62" s="30"/>
      <c r="K62" s="75"/>
      <c r="L62" s="76"/>
      <c r="M62" s="77"/>
      <c r="N62" s="75"/>
      <c r="O62" s="76">
        <v>5000</v>
      </c>
      <c r="P62" s="78">
        <f t="shared" si="9"/>
        <v>5000</v>
      </c>
      <c r="Q62" s="79">
        <v>4800</v>
      </c>
      <c r="R62" s="107">
        <v>46041</v>
      </c>
      <c r="S62" s="108">
        <v>46135</v>
      </c>
      <c r="T62" s="109"/>
      <c r="U62" s="108"/>
      <c r="V62" s="36"/>
      <c r="W62" s="88"/>
    </row>
    <row r="63" spans="2:24" ht="18" customHeight="1" x14ac:dyDescent="0.3">
      <c r="B63" s="3" t="s">
        <v>154</v>
      </c>
      <c r="C63" s="25"/>
      <c r="D63" s="25"/>
      <c r="F63" s="26"/>
      <c r="G63" s="27"/>
      <c r="H63" s="28"/>
      <c r="I63" s="29"/>
      <c r="J63" s="30"/>
      <c r="K63" s="75"/>
      <c r="L63" s="76"/>
      <c r="M63" s="77"/>
      <c r="N63" s="75">
        <v>17000</v>
      </c>
      <c r="O63" s="76"/>
      <c r="P63" s="78">
        <f t="shared" si="9"/>
        <v>17000</v>
      </c>
      <c r="Q63" s="79"/>
      <c r="R63" s="107">
        <v>46100</v>
      </c>
      <c r="S63" s="108"/>
      <c r="T63" s="109"/>
      <c r="U63" s="108"/>
      <c r="V63" s="36"/>
      <c r="W63" s="88"/>
    </row>
    <row r="64" spans="2:24" ht="18" customHeight="1" x14ac:dyDescent="0.3">
      <c r="B64" s="3" t="s">
        <v>155</v>
      </c>
      <c r="C64" s="25"/>
      <c r="D64" s="25"/>
      <c r="F64" s="26" t="s">
        <v>100</v>
      </c>
      <c r="G64" s="27" t="s">
        <v>156</v>
      </c>
      <c r="H64" s="28">
        <v>6321</v>
      </c>
      <c r="I64" s="29" t="s">
        <v>108</v>
      </c>
      <c r="J64" s="30" t="s">
        <v>157</v>
      </c>
      <c r="K64" s="75">
        <v>0</v>
      </c>
      <c r="L64" s="76">
        <v>20000</v>
      </c>
      <c r="M64" s="77">
        <f t="shared" si="8"/>
        <v>20000</v>
      </c>
      <c r="N64" s="75"/>
      <c r="O64" s="76"/>
      <c r="P64" s="78">
        <f t="shared" si="9"/>
        <v>0</v>
      </c>
      <c r="Q64" s="79"/>
      <c r="R64" s="107"/>
      <c r="S64" s="108"/>
      <c r="T64" s="109" t="s">
        <v>158</v>
      </c>
      <c r="U64" s="108" t="s">
        <v>149</v>
      </c>
      <c r="V64" s="36" t="s">
        <v>65</v>
      </c>
      <c r="W64" s="88" t="s">
        <v>49</v>
      </c>
    </row>
    <row r="65" spans="2:24" ht="18" customHeight="1" x14ac:dyDescent="0.3">
      <c r="B65" s="3" t="s">
        <v>159</v>
      </c>
      <c r="C65" s="25"/>
      <c r="D65" s="25"/>
      <c r="F65" s="26" t="s">
        <v>100</v>
      </c>
      <c r="G65" s="27" t="s">
        <v>68</v>
      </c>
      <c r="H65" s="28">
        <v>6329</v>
      </c>
      <c r="I65" s="29" t="s">
        <v>108</v>
      </c>
      <c r="J65" s="30" t="s">
        <v>160</v>
      </c>
      <c r="K65" s="75">
        <v>0</v>
      </c>
      <c r="L65" s="76">
        <v>60000</v>
      </c>
      <c r="M65" s="77">
        <f t="shared" si="8"/>
        <v>60000</v>
      </c>
      <c r="N65" s="75"/>
      <c r="O65" s="76"/>
      <c r="P65" s="78">
        <f t="shared" si="9"/>
        <v>0</v>
      </c>
      <c r="Q65" s="79"/>
      <c r="R65" s="107"/>
      <c r="S65" s="108"/>
      <c r="T65" s="109" t="s">
        <v>158</v>
      </c>
      <c r="U65" s="108" t="s">
        <v>149</v>
      </c>
      <c r="V65" s="36" t="s">
        <v>65</v>
      </c>
      <c r="W65" s="88" t="s">
        <v>49</v>
      </c>
    </row>
    <row r="66" spans="2:24" ht="18" customHeight="1" x14ac:dyDescent="0.3">
      <c r="B66" s="3" t="s">
        <v>161</v>
      </c>
      <c r="C66" s="25"/>
      <c r="D66" s="25"/>
      <c r="F66" s="26"/>
      <c r="G66" s="27"/>
      <c r="H66" s="28"/>
      <c r="I66" s="29"/>
      <c r="J66" s="30"/>
      <c r="K66" s="75"/>
      <c r="L66" s="76"/>
      <c r="M66" s="77"/>
      <c r="N66" s="75"/>
      <c r="O66" s="76">
        <v>22000</v>
      </c>
      <c r="P66" s="78">
        <f t="shared" si="9"/>
        <v>22000</v>
      </c>
      <c r="Q66" s="79">
        <v>21860</v>
      </c>
      <c r="R66" s="107">
        <v>46005</v>
      </c>
      <c r="S66" s="108">
        <v>46042</v>
      </c>
      <c r="T66" s="109"/>
      <c r="U66" s="108"/>
      <c r="V66" s="36"/>
      <c r="W66" s="88"/>
      <c r="X66" s="3" t="s">
        <v>60</v>
      </c>
    </row>
    <row r="67" spans="2:24" ht="18" customHeight="1" x14ac:dyDescent="0.3">
      <c r="B67" s="3" t="s">
        <v>162</v>
      </c>
      <c r="C67" s="25"/>
      <c r="D67" s="25"/>
      <c r="F67" s="26"/>
      <c r="G67" s="27"/>
      <c r="H67" s="28"/>
      <c r="I67" s="29"/>
      <c r="J67" s="30"/>
      <c r="K67" s="75"/>
      <c r="L67" s="76"/>
      <c r="M67" s="77"/>
      <c r="N67" s="75"/>
      <c r="O67" s="76">
        <v>12000</v>
      </c>
      <c r="P67" s="78">
        <f t="shared" si="9"/>
        <v>12000</v>
      </c>
      <c r="Q67" s="79">
        <v>11027</v>
      </c>
      <c r="R67" s="107">
        <v>46038</v>
      </c>
      <c r="S67" s="108">
        <v>46139</v>
      </c>
      <c r="T67" s="109"/>
      <c r="U67" s="108"/>
      <c r="V67" s="36"/>
      <c r="W67" s="88"/>
    </row>
    <row r="68" spans="2:24" ht="18" customHeight="1" x14ac:dyDescent="0.3">
      <c r="B68" s="3" t="s">
        <v>163</v>
      </c>
      <c r="C68" s="25"/>
      <c r="D68" s="25"/>
      <c r="F68" s="26"/>
      <c r="G68" s="27"/>
      <c r="H68" s="28"/>
      <c r="I68" s="29"/>
      <c r="J68" s="30"/>
      <c r="K68" s="75"/>
      <c r="L68" s="76"/>
      <c r="M68" s="77"/>
      <c r="N68" s="75"/>
      <c r="O68" s="76">
        <v>26000</v>
      </c>
      <c r="P68" s="78">
        <f t="shared" si="9"/>
        <v>26000</v>
      </c>
      <c r="Q68" s="79"/>
      <c r="R68" s="107">
        <v>46085</v>
      </c>
      <c r="S68" s="108"/>
      <c r="T68" s="109"/>
      <c r="U68" s="108"/>
      <c r="V68" s="36"/>
      <c r="W68" s="88"/>
    </row>
    <row r="69" spans="2:24" ht="18" customHeight="1" x14ac:dyDescent="0.3">
      <c r="B69" s="89" t="s">
        <v>164</v>
      </c>
      <c r="C69" s="89"/>
      <c r="D69" s="89"/>
      <c r="E69" s="89"/>
      <c r="F69" s="26" t="s">
        <v>100</v>
      </c>
      <c r="G69" s="27" t="s">
        <v>156</v>
      </c>
      <c r="H69" s="28">
        <v>6321</v>
      </c>
      <c r="I69" s="29" t="s">
        <v>108</v>
      </c>
      <c r="J69" s="30" t="s">
        <v>165</v>
      </c>
      <c r="K69" s="75"/>
      <c r="L69" s="76">
        <v>50000</v>
      </c>
      <c r="M69" s="77">
        <f t="shared" si="8"/>
        <v>50000</v>
      </c>
      <c r="N69" s="75"/>
      <c r="O69" s="76"/>
      <c r="P69" s="78">
        <f t="shared" si="9"/>
        <v>0</v>
      </c>
      <c r="Q69" s="79"/>
      <c r="R69" s="101"/>
      <c r="S69" s="102"/>
      <c r="T69" s="103" t="s">
        <v>63</v>
      </c>
      <c r="U69" s="102" t="s">
        <v>64</v>
      </c>
      <c r="V69" s="36" t="s">
        <v>65</v>
      </c>
      <c r="W69" s="88" t="s">
        <v>49</v>
      </c>
    </row>
    <row r="70" spans="2:24" ht="18" customHeight="1" x14ac:dyDescent="0.3">
      <c r="B70" s="89" t="s">
        <v>166</v>
      </c>
      <c r="C70" s="89"/>
      <c r="D70" s="89"/>
      <c r="E70" s="89"/>
      <c r="F70" s="26"/>
      <c r="G70" s="27"/>
      <c r="H70" s="28"/>
      <c r="I70" s="29"/>
      <c r="J70" s="30"/>
      <c r="K70" s="75"/>
      <c r="L70" s="76"/>
      <c r="M70" s="77"/>
      <c r="N70" s="75"/>
      <c r="O70" s="76">
        <v>25700</v>
      </c>
      <c r="P70" s="78">
        <f t="shared" si="9"/>
        <v>25700</v>
      </c>
      <c r="Q70" s="79">
        <v>22500</v>
      </c>
      <c r="R70" s="104">
        <v>46037</v>
      </c>
      <c r="S70" s="105">
        <v>46126</v>
      </c>
      <c r="T70" s="106"/>
      <c r="U70" s="105"/>
      <c r="V70" s="80"/>
      <c r="W70" s="88"/>
    </row>
    <row r="71" spans="2:24" ht="18" customHeight="1" x14ac:dyDescent="0.3">
      <c r="B71" s="89" t="s">
        <v>167</v>
      </c>
      <c r="C71" s="89"/>
      <c r="D71" s="89"/>
      <c r="E71" s="89"/>
      <c r="F71" s="26"/>
      <c r="G71" s="27"/>
      <c r="H71" s="28"/>
      <c r="I71" s="29"/>
      <c r="J71" s="30"/>
      <c r="K71" s="75"/>
      <c r="L71" s="76"/>
      <c r="M71" s="77"/>
      <c r="N71" s="75"/>
      <c r="O71" s="76">
        <v>10000</v>
      </c>
      <c r="P71" s="78">
        <f t="shared" si="9"/>
        <v>10000</v>
      </c>
      <c r="Q71" s="79">
        <v>9427</v>
      </c>
      <c r="R71" s="104">
        <v>46046</v>
      </c>
      <c r="S71" s="105">
        <v>46135</v>
      </c>
      <c r="T71" s="106"/>
      <c r="U71" s="105"/>
      <c r="V71" s="80"/>
      <c r="W71" s="88"/>
    </row>
    <row r="72" spans="2:24" ht="18" customHeight="1" x14ac:dyDescent="0.3">
      <c r="B72" s="89" t="s">
        <v>168</v>
      </c>
      <c r="C72" s="89"/>
      <c r="D72" s="89"/>
      <c r="E72" s="89"/>
      <c r="F72" s="26"/>
      <c r="G72" s="27"/>
      <c r="H72" s="28"/>
      <c r="I72" s="29"/>
      <c r="J72" s="30"/>
      <c r="K72" s="75"/>
      <c r="L72" s="76"/>
      <c r="M72" s="77"/>
      <c r="N72" s="75"/>
      <c r="O72" s="76">
        <v>6200</v>
      </c>
      <c r="P72" s="78">
        <f t="shared" si="9"/>
        <v>6200</v>
      </c>
      <c r="Q72" s="79"/>
      <c r="R72" s="104">
        <v>46068</v>
      </c>
      <c r="S72" s="105"/>
      <c r="T72" s="106"/>
      <c r="U72" s="105"/>
      <c r="V72" s="80"/>
      <c r="W72" s="88"/>
    </row>
    <row r="73" spans="2:24" ht="18" customHeight="1" x14ac:dyDescent="0.3">
      <c r="B73" s="89" t="s">
        <v>169</v>
      </c>
      <c r="C73" s="89"/>
      <c r="D73" s="89"/>
      <c r="E73" s="89"/>
      <c r="F73" s="26"/>
      <c r="G73" s="27"/>
      <c r="H73" s="28"/>
      <c r="I73" s="29"/>
      <c r="J73" s="30"/>
      <c r="K73" s="75"/>
      <c r="L73" s="76"/>
      <c r="M73" s="77"/>
      <c r="N73" s="75"/>
      <c r="O73" s="76">
        <v>8100</v>
      </c>
      <c r="P73" s="78">
        <f t="shared" si="9"/>
        <v>8100</v>
      </c>
      <c r="Q73" s="79"/>
      <c r="R73" s="104">
        <v>46101</v>
      </c>
      <c r="S73" s="105"/>
      <c r="T73" s="106"/>
      <c r="U73" s="105"/>
      <c r="V73" s="80"/>
      <c r="W73" s="88"/>
    </row>
    <row r="74" spans="2:24" ht="18" customHeight="1" x14ac:dyDescent="0.3">
      <c r="B74" s="89" t="s">
        <v>170</v>
      </c>
      <c r="C74" s="89"/>
      <c r="D74" s="89"/>
      <c r="E74" s="89"/>
      <c r="F74" s="26" t="s">
        <v>74</v>
      </c>
      <c r="G74" s="27" t="s">
        <v>75</v>
      </c>
      <c r="H74" s="28"/>
      <c r="I74" s="29"/>
      <c r="J74" s="30" t="s">
        <v>171</v>
      </c>
      <c r="K74" s="75">
        <v>400000</v>
      </c>
      <c r="L74" s="76"/>
      <c r="M74" s="77">
        <f t="shared" si="8"/>
        <v>400000</v>
      </c>
      <c r="N74" s="75"/>
      <c r="O74" s="76"/>
      <c r="P74" s="78"/>
      <c r="Q74" s="79"/>
      <c r="R74" s="104"/>
      <c r="S74" s="105"/>
      <c r="T74" s="106"/>
      <c r="U74" s="105"/>
      <c r="V74" s="80"/>
      <c r="W74" s="88"/>
    </row>
    <row r="75" spans="2:24" ht="18" customHeight="1" x14ac:dyDescent="0.3">
      <c r="B75" s="89" t="s">
        <v>172</v>
      </c>
      <c r="C75" s="89"/>
      <c r="D75" s="89"/>
      <c r="E75" s="89"/>
      <c r="F75" s="26" t="s">
        <v>74</v>
      </c>
      <c r="G75" s="27" t="s">
        <v>75</v>
      </c>
      <c r="H75" s="28"/>
      <c r="I75" s="29"/>
      <c r="J75" s="30" t="s">
        <v>173</v>
      </c>
      <c r="K75" s="75">
        <v>120000</v>
      </c>
      <c r="L75" s="76"/>
      <c r="M75" s="77">
        <f t="shared" si="8"/>
        <v>120000</v>
      </c>
      <c r="N75" s="75"/>
      <c r="O75" s="76"/>
      <c r="P75" s="78"/>
      <c r="Q75" s="79"/>
      <c r="R75" s="104"/>
      <c r="S75" s="105"/>
      <c r="T75" s="106"/>
      <c r="U75" s="105"/>
      <c r="V75" s="80"/>
      <c r="W75" s="88"/>
    </row>
    <row r="76" spans="2:24" ht="18" customHeight="1" x14ac:dyDescent="0.3">
      <c r="B76" s="89" t="s">
        <v>174</v>
      </c>
      <c r="C76" s="89"/>
      <c r="D76" s="89"/>
      <c r="E76" s="89"/>
      <c r="F76" s="26" t="s">
        <v>74</v>
      </c>
      <c r="G76" s="27" t="s">
        <v>75</v>
      </c>
      <c r="H76" s="28"/>
      <c r="I76" s="29"/>
      <c r="J76" s="30" t="s">
        <v>175</v>
      </c>
      <c r="K76" s="75">
        <v>750000</v>
      </c>
      <c r="L76" s="76"/>
      <c r="M76" s="77">
        <f t="shared" si="8"/>
        <v>750000</v>
      </c>
      <c r="N76" s="75"/>
      <c r="O76" s="76"/>
      <c r="P76" s="78"/>
      <c r="Q76" s="79"/>
      <c r="R76" s="104"/>
      <c r="S76" s="105"/>
      <c r="T76" s="106"/>
      <c r="U76" s="105"/>
      <c r="V76" s="80"/>
      <c r="W76" s="88"/>
    </row>
    <row r="77" spans="2:24" ht="18" customHeight="1" x14ac:dyDescent="0.3">
      <c r="B77" s="89" t="s">
        <v>176</v>
      </c>
      <c r="C77" s="89"/>
      <c r="D77" s="89"/>
      <c r="E77" s="89"/>
      <c r="F77" s="26" t="s">
        <v>74</v>
      </c>
      <c r="G77" s="27" t="s">
        <v>75</v>
      </c>
      <c r="H77" s="28"/>
      <c r="I77" s="29"/>
      <c r="J77" s="30" t="s">
        <v>177</v>
      </c>
      <c r="K77" s="75">
        <v>80000</v>
      </c>
      <c r="L77" s="76"/>
      <c r="M77" s="77">
        <f t="shared" si="8"/>
        <v>80000</v>
      </c>
      <c r="N77" s="75"/>
      <c r="O77" s="76"/>
      <c r="P77" s="78"/>
      <c r="Q77" s="79"/>
      <c r="R77" s="104"/>
      <c r="S77" s="105"/>
      <c r="T77" s="106"/>
      <c r="U77" s="105"/>
      <c r="V77" s="80"/>
      <c r="W77" s="88"/>
    </row>
    <row r="78" spans="2:24" ht="18" customHeight="1" x14ac:dyDescent="0.3">
      <c r="B78" s="74" t="s">
        <v>178</v>
      </c>
      <c r="C78" s="74"/>
      <c r="D78" s="81"/>
      <c r="E78" s="74"/>
      <c r="F78" s="26" t="s">
        <v>40</v>
      </c>
      <c r="G78" s="27" t="s">
        <v>49</v>
      </c>
      <c r="H78" s="28"/>
      <c r="I78" s="29"/>
      <c r="J78" s="30"/>
      <c r="K78" s="75">
        <v>0</v>
      </c>
      <c r="L78" s="76">
        <v>0</v>
      </c>
      <c r="M78" s="77">
        <f t="shared" si="8"/>
        <v>0</v>
      </c>
      <c r="N78" s="75"/>
      <c r="O78" s="76"/>
      <c r="P78" s="78">
        <f t="shared" si="9"/>
        <v>0</v>
      </c>
      <c r="Q78" s="79"/>
      <c r="R78" s="110"/>
      <c r="S78" s="37"/>
      <c r="T78" s="111" t="s">
        <v>49</v>
      </c>
      <c r="U78" s="37" t="s">
        <v>49</v>
      </c>
      <c r="V78" s="82" t="s">
        <v>40</v>
      </c>
      <c r="W78" s="83" t="s">
        <v>40</v>
      </c>
    </row>
    <row r="79" spans="2:24" ht="18" customHeight="1" x14ac:dyDescent="0.3">
      <c r="B79" s="25" t="s">
        <v>179</v>
      </c>
      <c r="C79" s="81"/>
      <c r="D79" s="25"/>
      <c r="E79" s="25"/>
      <c r="F79" s="26" t="s">
        <v>40</v>
      </c>
      <c r="G79" s="27" t="s">
        <v>49</v>
      </c>
      <c r="H79" s="28"/>
      <c r="I79" s="29"/>
      <c r="J79" s="30"/>
      <c r="K79" s="75">
        <v>0</v>
      </c>
      <c r="L79" s="76">
        <v>0</v>
      </c>
      <c r="M79" s="77">
        <f t="shared" si="8"/>
        <v>0</v>
      </c>
      <c r="N79" s="75"/>
      <c r="O79" s="76"/>
      <c r="P79" s="78">
        <f t="shared" si="9"/>
        <v>0</v>
      </c>
      <c r="Q79" s="79"/>
      <c r="R79" s="36"/>
      <c r="S79" s="37"/>
      <c r="T79" s="80" t="s">
        <v>49</v>
      </c>
      <c r="U79" s="37" t="s">
        <v>49</v>
      </c>
      <c r="V79" s="40" t="s">
        <v>40</v>
      </c>
      <c r="W79" s="41" t="s">
        <v>40</v>
      </c>
    </row>
    <row r="80" spans="2:24" ht="18" customHeight="1" x14ac:dyDescent="0.3">
      <c r="B80" s="25" t="s">
        <v>180</v>
      </c>
      <c r="C80" s="81"/>
      <c r="D80" s="81"/>
      <c r="E80" s="25"/>
      <c r="F80" s="92" t="s">
        <v>10</v>
      </c>
      <c r="G80" s="27" t="s">
        <v>79</v>
      </c>
      <c r="H80" s="28">
        <v>6061</v>
      </c>
      <c r="I80" s="29" t="s">
        <v>55</v>
      </c>
      <c r="J80" s="30" t="s">
        <v>181</v>
      </c>
      <c r="K80" s="75">
        <v>550000</v>
      </c>
      <c r="L80" s="93">
        <v>50000</v>
      </c>
      <c r="M80" s="77">
        <f t="shared" si="8"/>
        <v>600000</v>
      </c>
      <c r="N80" s="75"/>
      <c r="O80" s="93"/>
      <c r="P80" s="78">
        <f t="shared" si="9"/>
        <v>0</v>
      </c>
      <c r="Q80" s="79"/>
      <c r="R80" s="94"/>
      <c r="S80" s="112"/>
      <c r="T80" s="96" t="s">
        <v>81</v>
      </c>
      <c r="U80" s="113" t="s">
        <v>42</v>
      </c>
      <c r="V80" s="80" t="s">
        <v>182</v>
      </c>
      <c r="W80" s="88" t="s">
        <v>49</v>
      </c>
    </row>
    <row r="81" spans="2:23" ht="18" customHeight="1" x14ac:dyDescent="0.3">
      <c r="B81" s="25" t="s">
        <v>183</v>
      </c>
      <c r="C81" s="81"/>
      <c r="D81" s="81"/>
      <c r="E81" s="25"/>
      <c r="F81" s="26" t="s">
        <v>184</v>
      </c>
      <c r="G81" s="27" t="s">
        <v>185</v>
      </c>
      <c r="H81" s="28"/>
      <c r="I81" s="29"/>
      <c r="J81" s="30" t="s">
        <v>186</v>
      </c>
      <c r="K81" s="75"/>
      <c r="L81" s="93"/>
      <c r="M81" s="77"/>
      <c r="N81" s="75">
        <v>24850</v>
      </c>
      <c r="O81" s="93"/>
      <c r="P81" s="78">
        <f t="shared" si="9"/>
        <v>24850</v>
      </c>
      <c r="Q81" s="79">
        <v>24168</v>
      </c>
      <c r="R81" s="94">
        <v>46037</v>
      </c>
      <c r="S81" s="112">
        <v>46086</v>
      </c>
      <c r="T81" s="96"/>
      <c r="U81" s="113"/>
      <c r="V81" s="80"/>
      <c r="W81" s="88"/>
    </row>
    <row r="82" spans="2:23" ht="18" customHeight="1" x14ac:dyDescent="0.3">
      <c r="B82" s="25" t="s">
        <v>187</v>
      </c>
      <c r="C82" s="81"/>
      <c r="D82" s="81"/>
      <c r="E82" s="25"/>
      <c r="F82" s="26" t="s">
        <v>11</v>
      </c>
      <c r="G82" s="27" t="s">
        <v>188</v>
      </c>
      <c r="H82" s="28"/>
      <c r="I82" s="29"/>
      <c r="J82" s="30" t="s">
        <v>189</v>
      </c>
      <c r="K82" s="75"/>
      <c r="L82" s="93"/>
      <c r="M82" s="77"/>
      <c r="N82" s="75">
        <v>65300</v>
      </c>
      <c r="O82" s="93"/>
      <c r="P82" s="78">
        <f t="shared" si="9"/>
        <v>65300</v>
      </c>
      <c r="Q82" s="79"/>
      <c r="R82" s="94">
        <v>46058</v>
      </c>
      <c r="S82" s="112"/>
      <c r="T82" s="96"/>
      <c r="U82" s="113"/>
      <c r="V82" s="80"/>
      <c r="W82" s="88"/>
    </row>
    <row r="83" spans="2:23" ht="18" customHeight="1" x14ac:dyDescent="0.3">
      <c r="B83" s="25" t="s">
        <v>190</v>
      </c>
      <c r="C83" s="81"/>
      <c r="D83" s="81"/>
      <c r="E83" s="25"/>
      <c r="F83" s="26" t="s">
        <v>191</v>
      </c>
      <c r="G83" s="27" t="s">
        <v>192</v>
      </c>
      <c r="H83" s="28"/>
      <c r="I83" s="29"/>
      <c r="J83" s="30" t="s">
        <v>193</v>
      </c>
      <c r="K83" s="75"/>
      <c r="L83" s="93"/>
      <c r="M83" s="77"/>
      <c r="N83" s="75"/>
      <c r="O83" s="93">
        <v>27807</v>
      </c>
      <c r="P83" s="78">
        <f t="shared" si="9"/>
        <v>27807</v>
      </c>
      <c r="Q83" s="79"/>
      <c r="R83" s="94">
        <v>46105</v>
      </c>
      <c r="S83" s="112"/>
      <c r="T83" s="96"/>
      <c r="U83" s="113"/>
      <c r="V83" s="80"/>
      <c r="W83" s="88"/>
    </row>
    <row r="84" spans="2:23" ht="18" customHeight="1" x14ac:dyDescent="0.3">
      <c r="B84" s="25" t="s">
        <v>194</v>
      </c>
      <c r="C84" s="81"/>
      <c r="D84" s="81"/>
      <c r="E84" s="25"/>
      <c r="F84" s="26" t="s">
        <v>94</v>
      </c>
      <c r="G84" s="27" t="s">
        <v>89</v>
      </c>
      <c r="H84" s="28"/>
      <c r="I84" s="29"/>
      <c r="J84" s="30" t="s">
        <v>195</v>
      </c>
      <c r="K84" s="75"/>
      <c r="L84" s="93"/>
      <c r="M84" s="77"/>
      <c r="N84" s="75"/>
      <c r="O84" s="93">
        <v>17500</v>
      </c>
      <c r="P84" s="78">
        <f t="shared" si="9"/>
        <v>17500</v>
      </c>
      <c r="Q84" s="79"/>
      <c r="R84" s="94">
        <v>46134</v>
      </c>
      <c r="S84" s="112"/>
      <c r="T84" s="96"/>
      <c r="U84" s="113"/>
      <c r="V84" s="80"/>
      <c r="W84" s="88"/>
    </row>
    <row r="85" spans="2:23" ht="18" customHeight="1" x14ac:dyDescent="0.3">
      <c r="B85" s="25" t="s">
        <v>196</v>
      </c>
      <c r="C85" s="81"/>
      <c r="D85" s="81"/>
      <c r="E85" s="25"/>
      <c r="F85" s="26" t="s">
        <v>88</v>
      </c>
      <c r="G85" s="27" t="s">
        <v>89</v>
      </c>
      <c r="H85" s="28"/>
      <c r="I85" s="29"/>
      <c r="J85" s="30" t="s">
        <v>197</v>
      </c>
      <c r="K85" s="75"/>
      <c r="L85" s="93"/>
      <c r="M85" s="77"/>
      <c r="N85" s="75">
        <v>33500</v>
      </c>
      <c r="O85" s="93"/>
      <c r="P85" s="78">
        <f t="shared" si="9"/>
        <v>33500</v>
      </c>
      <c r="Q85" s="79"/>
      <c r="R85" s="94">
        <v>46144</v>
      </c>
      <c r="S85" s="112"/>
      <c r="T85" s="96"/>
      <c r="U85" s="113"/>
      <c r="V85" s="80"/>
      <c r="W85" s="88"/>
    </row>
    <row r="86" spans="2:23" ht="18" customHeight="1" x14ac:dyDescent="0.3">
      <c r="B86" s="25" t="s">
        <v>198</v>
      </c>
      <c r="C86" s="81"/>
      <c r="D86" s="81"/>
      <c r="E86" s="25"/>
      <c r="F86" s="92" t="s">
        <v>10</v>
      </c>
      <c r="G86" s="27" t="s">
        <v>79</v>
      </c>
      <c r="H86" s="28">
        <v>6061</v>
      </c>
      <c r="I86" s="29" t="s">
        <v>55</v>
      </c>
      <c r="J86" s="30" t="s">
        <v>199</v>
      </c>
      <c r="K86" s="75">
        <v>300000</v>
      </c>
      <c r="L86" s="93">
        <v>0</v>
      </c>
      <c r="M86" s="77">
        <f t="shared" si="8"/>
        <v>300000</v>
      </c>
      <c r="N86" s="75"/>
      <c r="O86" s="93"/>
      <c r="P86" s="78">
        <f t="shared" si="9"/>
        <v>0</v>
      </c>
      <c r="Q86" s="79"/>
      <c r="R86" s="94"/>
      <c r="S86" s="112"/>
      <c r="T86" s="96" t="s">
        <v>81</v>
      </c>
      <c r="U86" s="113" t="s">
        <v>42</v>
      </c>
      <c r="V86" s="80" t="s">
        <v>182</v>
      </c>
      <c r="W86" s="88" t="s">
        <v>49</v>
      </c>
    </row>
    <row r="87" spans="2:23" ht="18" customHeight="1" x14ac:dyDescent="0.3">
      <c r="B87" s="25" t="s">
        <v>200</v>
      </c>
      <c r="C87" s="81"/>
      <c r="D87" s="81"/>
      <c r="E87" s="25"/>
      <c r="F87" s="92" t="s">
        <v>10</v>
      </c>
      <c r="G87" s="27" t="s">
        <v>79</v>
      </c>
      <c r="H87" s="28">
        <v>6061</v>
      </c>
      <c r="I87" s="29" t="s">
        <v>55</v>
      </c>
      <c r="J87" s="30" t="s">
        <v>201</v>
      </c>
      <c r="K87" s="75">
        <v>280000</v>
      </c>
      <c r="L87" s="93">
        <v>20000</v>
      </c>
      <c r="M87" s="77">
        <f t="shared" si="8"/>
        <v>300000</v>
      </c>
      <c r="N87" s="75"/>
      <c r="O87" s="93"/>
      <c r="P87" s="78">
        <f t="shared" si="9"/>
        <v>0</v>
      </c>
      <c r="Q87" s="79"/>
      <c r="R87" s="94"/>
      <c r="S87" s="112"/>
      <c r="T87" s="96" t="s">
        <v>40</v>
      </c>
      <c r="U87" s="114" t="s">
        <v>40</v>
      </c>
      <c r="V87" s="80" t="s">
        <v>40</v>
      </c>
      <c r="W87" s="88" t="s">
        <v>49</v>
      </c>
    </row>
    <row r="88" spans="2:23" ht="18" customHeight="1" x14ac:dyDescent="0.3">
      <c r="B88" s="25" t="s">
        <v>202</v>
      </c>
      <c r="C88" s="81"/>
      <c r="D88" s="81"/>
      <c r="E88" s="25"/>
      <c r="F88" s="26" t="s">
        <v>10</v>
      </c>
      <c r="G88" s="27" t="s">
        <v>79</v>
      </c>
      <c r="H88" s="28"/>
      <c r="I88" s="29"/>
      <c r="J88" s="30"/>
      <c r="K88" s="115" t="s">
        <v>203</v>
      </c>
      <c r="L88" s="93">
        <v>0</v>
      </c>
      <c r="M88" s="77">
        <f t="shared" si="8"/>
        <v>0</v>
      </c>
      <c r="N88" s="115"/>
      <c r="O88" s="93"/>
      <c r="P88" s="78">
        <f t="shared" si="9"/>
        <v>0</v>
      </c>
      <c r="Q88" s="79"/>
      <c r="R88" s="94"/>
      <c r="S88" s="112"/>
      <c r="T88" s="96" t="s">
        <v>81</v>
      </c>
      <c r="U88" s="113" t="s">
        <v>42</v>
      </c>
      <c r="V88" s="80" t="s">
        <v>146</v>
      </c>
      <c r="W88" s="88" t="s">
        <v>49</v>
      </c>
    </row>
    <row r="89" spans="2:23" ht="18" customHeight="1" x14ac:dyDescent="0.3">
      <c r="B89" s="25" t="s">
        <v>204</v>
      </c>
      <c r="C89" s="81"/>
      <c r="D89" s="81"/>
      <c r="E89" s="25"/>
      <c r="F89" s="26" t="s">
        <v>10</v>
      </c>
      <c r="G89" s="27" t="s">
        <v>68</v>
      </c>
      <c r="H89" s="28"/>
      <c r="I89" s="29"/>
      <c r="J89" s="30"/>
      <c r="K89" s="115" t="s">
        <v>205</v>
      </c>
      <c r="L89" s="116" t="s">
        <v>206</v>
      </c>
      <c r="M89" s="77">
        <f t="shared" si="8"/>
        <v>0</v>
      </c>
      <c r="N89" s="115"/>
      <c r="O89" s="116"/>
      <c r="P89" s="78">
        <f t="shared" si="9"/>
        <v>0</v>
      </c>
      <c r="Q89" s="79"/>
      <c r="R89" s="94"/>
      <c r="S89" s="112"/>
      <c r="T89" s="96" t="s">
        <v>81</v>
      </c>
      <c r="U89" s="113" t="s">
        <v>42</v>
      </c>
      <c r="V89" s="80" t="s">
        <v>182</v>
      </c>
      <c r="W89" s="88" t="s">
        <v>49</v>
      </c>
    </row>
    <row r="90" spans="2:23" ht="18" customHeight="1" x14ac:dyDescent="0.3">
      <c r="B90" s="25" t="s">
        <v>207</v>
      </c>
      <c r="C90" s="81"/>
      <c r="D90" s="81"/>
      <c r="E90" s="25"/>
      <c r="F90" s="26" t="s">
        <v>10</v>
      </c>
      <c r="G90" s="27" t="s">
        <v>68</v>
      </c>
      <c r="H90" s="28"/>
      <c r="I90" s="29"/>
      <c r="J90" s="30"/>
      <c r="K90" s="75"/>
      <c r="L90" s="116" t="s">
        <v>206</v>
      </c>
      <c r="M90" s="77">
        <f t="shared" si="8"/>
        <v>0</v>
      </c>
      <c r="N90" s="75"/>
      <c r="O90" s="116"/>
      <c r="P90" s="78">
        <f t="shared" si="9"/>
        <v>0</v>
      </c>
      <c r="Q90" s="79"/>
      <c r="R90" s="94"/>
      <c r="S90" s="112"/>
      <c r="T90" s="96" t="s">
        <v>81</v>
      </c>
      <c r="U90" s="113" t="s">
        <v>42</v>
      </c>
      <c r="V90" s="80" t="s">
        <v>182</v>
      </c>
      <c r="W90" s="88" t="s">
        <v>49</v>
      </c>
    </row>
    <row r="91" spans="2:23" ht="18" customHeight="1" x14ac:dyDescent="0.3">
      <c r="B91" s="25" t="s">
        <v>208</v>
      </c>
      <c r="C91" s="81"/>
      <c r="D91" s="81"/>
      <c r="E91" s="25"/>
      <c r="F91" s="92" t="s">
        <v>10</v>
      </c>
      <c r="G91" s="27" t="s">
        <v>79</v>
      </c>
      <c r="H91" s="28">
        <v>6061</v>
      </c>
      <c r="I91" s="29" t="s">
        <v>55</v>
      </c>
      <c r="J91" s="30" t="s">
        <v>209</v>
      </c>
      <c r="K91" s="75">
        <v>280000</v>
      </c>
      <c r="L91" s="93">
        <v>20000</v>
      </c>
      <c r="M91" s="77">
        <f t="shared" si="8"/>
        <v>300000</v>
      </c>
      <c r="N91" s="75"/>
      <c r="O91" s="93"/>
      <c r="P91" s="78">
        <f t="shared" si="9"/>
        <v>0</v>
      </c>
      <c r="Q91" s="79"/>
      <c r="R91" s="94"/>
      <c r="S91" s="112"/>
      <c r="T91" s="96" t="s">
        <v>81</v>
      </c>
      <c r="U91" s="113" t="s">
        <v>42</v>
      </c>
      <c r="V91" s="80" t="s">
        <v>182</v>
      </c>
      <c r="W91" s="88" t="s">
        <v>49</v>
      </c>
    </row>
    <row r="92" spans="2:23" s="306" customFormat="1" ht="18" customHeight="1" x14ac:dyDescent="0.3">
      <c r="B92" s="307" t="s">
        <v>210</v>
      </c>
      <c r="C92" s="322"/>
      <c r="D92" s="322"/>
      <c r="E92" s="307"/>
      <c r="F92" s="92" t="s">
        <v>184</v>
      </c>
      <c r="G92" s="308" t="s">
        <v>185</v>
      </c>
      <c r="H92" s="309"/>
      <c r="I92" s="310"/>
      <c r="J92" s="311" t="s">
        <v>211</v>
      </c>
      <c r="K92" s="312"/>
      <c r="L92" s="333"/>
      <c r="M92" s="314"/>
      <c r="N92" s="312"/>
      <c r="O92" s="333">
        <v>3000</v>
      </c>
      <c r="P92" s="315">
        <f t="shared" si="9"/>
        <v>3000</v>
      </c>
      <c r="Q92" s="316"/>
      <c r="R92" s="328">
        <v>46099</v>
      </c>
      <c r="S92" s="339"/>
      <c r="T92" s="330"/>
      <c r="U92" s="345"/>
      <c r="V92" s="320"/>
      <c r="W92" s="321"/>
    </row>
    <row r="93" spans="2:23" ht="18" customHeight="1" x14ac:dyDescent="0.3">
      <c r="B93" s="25" t="s">
        <v>212</v>
      </c>
      <c r="C93" s="81"/>
      <c r="D93" s="81"/>
      <c r="E93" s="25"/>
      <c r="F93" s="26" t="s">
        <v>10</v>
      </c>
      <c r="G93" s="27" t="s">
        <v>79</v>
      </c>
      <c r="H93" s="28"/>
      <c r="I93" s="29"/>
      <c r="J93" s="30"/>
      <c r="K93" s="75">
        <v>0</v>
      </c>
      <c r="L93" s="93">
        <v>0</v>
      </c>
      <c r="M93" s="77">
        <f t="shared" si="8"/>
        <v>0</v>
      </c>
      <c r="N93" s="75"/>
      <c r="O93" s="93"/>
      <c r="P93" s="78">
        <f t="shared" si="9"/>
        <v>0</v>
      </c>
      <c r="Q93" s="79"/>
      <c r="R93" s="94"/>
      <c r="S93" s="112"/>
      <c r="T93" s="96" t="s">
        <v>40</v>
      </c>
      <c r="U93" s="114" t="s">
        <v>40</v>
      </c>
      <c r="V93" s="80" t="s">
        <v>40</v>
      </c>
      <c r="W93" s="88" t="s">
        <v>49</v>
      </c>
    </row>
    <row r="94" spans="2:23" s="306" customFormat="1" ht="18" customHeight="1" x14ac:dyDescent="0.3">
      <c r="B94" s="307" t="s">
        <v>213</v>
      </c>
      <c r="C94" s="322"/>
      <c r="D94" s="322"/>
      <c r="E94" s="307"/>
      <c r="F94" s="92" t="s">
        <v>214</v>
      </c>
      <c r="G94" s="308" t="s">
        <v>215</v>
      </c>
      <c r="H94" s="309">
        <v>6122</v>
      </c>
      <c r="I94" s="310" t="s">
        <v>108</v>
      </c>
      <c r="J94" s="311" t="s">
        <v>216</v>
      </c>
      <c r="K94" s="312">
        <v>0</v>
      </c>
      <c r="L94" s="338">
        <v>44000</v>
      </c>
      <c r="M94" s="314">
        <f t="shared" si="8"/>
        <v>44000</v>
      </c>
      <c r="N94" s="312"/>
      <c r="O94" s="338">
        <v>44000</v>
      </c>
      <c r="P94" s="315">
        <f t="shared" si="9"/>
        <v>44000</v>
      </c>
      <c r="Q94" s="316"/>
      <c r="R94" s="328">
        <v>46092</v>
      </c>
      <c r="S94" s="339"/>
      <c r="T94" s="330" t="s">
        <v>102</v>
      </c>
      <c r="U94" s="340" t="s">
        <v>217</v>
      </c>
      <c r="V94" s="320" t="s">
        <v>182</v>
      </c>
      <c r="W94" s="321" t="s">
        <v>49</v>
      </c>
    </row>
    <row r="95" spans="2:23" s="306" customFormat="1" ht="18" customHeight="1" x14ac:dyDescent="0.3">
      <c r="B95" s="307" t="s">
        <v>218</v>
      </c>
      <c r="C95" s="322"/>
      <c r="D95" s="322"/>
      <c r="E95" s="307"/>
      <c r="F95" s="92" t="s">
        <v>214</v>
      </c>
      <c r="G95" s="308" t="s">
        <v>219</v>
      </c>
      <c r="H95" s="309">
        <v>6121</v>
      </c>
      <c r="I95" s="310" t="s">
        <v>108</v>
      </c>
      <c r="J95" s="311" t="s">
        <v>220</v>
      </c>
      <c r="K95" s="312">
        <v>0</v>
      </c>
      <c r="L95" s="338">
        <v>45000</v>
      </c>
      <c r="M95" s="314">
        <f t="shared" si="8"/>
        <v>45000</v>
      </c>
      <c r="N95" s="312"/>
      <c r="O95" s="338"/>
      <c r="P95" s="315">
        <f t="shared" si="9"/>
        <v>0</v>
      </c>
      <c r="Q95" s="316"/>
      <c r="R95" s="328"/>
      <c r="S95" s="339"/>
      <c r="T95" s="330" t="s">
        <v>102</v>
      </c>
      <c r="U95" s="340" t="s">
        <v>217</v>
      </c>
      <c r="V95" s="320" t="s">
        <v>182</v>
      </c>
      <c r="W95" s="321" t="s">
        <v>49</v>
      </c>
    </row>
    <row r="96" spans="2:23" ht="18" customHeight="1" x14ac:dyDescent="0.3">
      <c r="B96" s="25" t="s">
        <v>221</v>
      </c>
      <c r="C96" s="81"/>
      <c r="D96" s="81"/>
      <c r="E96" s="25"/>
      <c r="F96" s="26"/>
      <c r="G96" s="27"/>
      <c r="H96" s="28"/>
      <c r="I96" s="29"/>
      <c r="J96" s="30"/>
      <c r="K96" s="75"/>
      <c r="L96" s="117"/>
      <c r="M96" s="77"/>
      <c r="N96" s="75"/>
      <c r="O96" s="117">
        <v>18000</v>
      </c>
      <c r="P96" s="78">
        <f t="shared" si="9"/>
        <v>18000</v>
      </c>
      <c r="Q96" s="79">
        <v>17999</v>
      </c>
      <c r="R96" s="94">
        <v>46064</v>
      </c>
      <c r="S96" s="112">
        <v>46076</v>
      </c>
      <c r="T96" s="96"/>
      <c r="U96" s="114"/>
      <c r="V96" s="80"/>
      <c r="W96" s="88"/>
    </row>
    <row r="97" spans="2:24" ht="18" customHeight="1" x14ac:dyDescent="0.3">
      <c r="B97" s="25" t="s">
        <v>222</v>
      </c>
      <c r="C97" s="81"/>
      <c r="D97" s="81"/>
      <c r="E97" s="25"/>
      <c r="F97" s="26"/>
      <c r="G97" s="27"/>
      <c r="H97" s="28"/>
      <c r="I97" s="29"/>
      <c r="J97" s="30"/>
      <c r="K97" s="75"/>
      <c r="L97" s="117"/>
      <c r="M97" s="77"/>
      <c r="N97" s="75"/>
      <c r="O97" s="117">
        <v>27000</v>
      </c>
      <c r="P97" s="78">
        <f t="shared" si="9"/>
        <v>27000</v>
      </c>
      <c r="Q97" s="79">
        <v>24688</v>
      </c>
      <c r="R97" s="94">
        <v>46097</v>
      </c>
      <c r="S97" s="112">
        <v>46119</v>
      </c>
      <c r="T97" s="96"/>
      <c r="U97" s="114"/>
      <c r="V97" s="80"/>
      <c r="W97" s="88"/>
    </row>
    <row r="98" spans="2:24" s="306" customFormat="1" ht="18" customHeight="1" x14ac:dyDescent="0.3">
      <c r="B98" s="307" t="s">
        <v>223</v>
      </c>
      <c r="C98" s="322"/>
      <c r="D98" s="322"/>
      <c r="E98" s="307"/>
      <c r="F98" s="92" t="s">
        <v>214</v>
      </c>
      <c r="G98" s="308" t="s">
        <v>224</v>
      </c>
      <c r="H98" s="309">
        <v>6421</v>
      </c>
      <c r="I98" s="310" t="s">
        <v>108</v>
      </c>
      <c r="J98" s="311" t="s">
        <v>225</v>
      </c>
      <c r="K98" s="312">
        <v>0</v>
      </c>
      <c r="L98" s="338">
        <v>12000</v>
      </c>
      <c r="M98" s="314">
        <f t="shared" si="8"/>
        <v>12000</v>
      </c>
      <c r="N98" s="312"/>
      <c r="O98" s="338">
        <v>12000</v>
      </c>
      <c r="P98" s="315">
        <f t="shared" si="9"/>
        <v>12000</v>
      </c>
      <c r="Q98" s="316"/>
      <c r="R98" s="328">
        <v>46149</v>
      </c>
      <c r="S98" s="339"/>
      <c r="T98" s="330" t="s">
        <v>102</v>
      </c>
      <c r="U98" s="340" t="s">
        <v>217</v>
      </c>
      <c r="V98" s="320" t="s">
        <v>182</v>
      </c>
      <c r="W98" s="321" t="s">
        <v>49</v>
      </c>
    </row>
    <row r="99" spans="2:24" ht="18" customHeight="1" x14ac:dyDescent="0.3">
      <c r="B99" s="25" t="s">
        <v>226</v>
      </c>
      <c r="C99" s="81"/>
      <c r="D99" s="81"/>
      <c r="E99" s="25"/>
      <c r="F99" s="26" t="s">
        <v>214</v>
      </c>
      <c r="G99" s="27" t="s">
        <v>224</v>
      </c>
      <c r="H99" s="28">
        <v>6321</v>
      </c>
      <c r="I99" s="29" t="s">
        <v>108</v>
      </c>
      <c r="J99" s="30" t="s">
        <v>227</v>
      </c>
      <c r="K99" s="75">
        <v>0</v>
      </c>
      <c r="L99" s="117">
        <v>15000</v>
      </c>
      <c r="M99" s="77">
        <f t="shared" si="8"/>
        <v>15000</v>
      </c>
      <c r="N99" s="75"/>
      <c r="O99" s="117"/>
      <c r="P99" s="78">
        <f t="shared" si="9"/>
        <v>0</v>
      </c>
      <c r="Q99" s="79"/>
      <c r="R99" s="94"/>
      <c r="S99" s="112"/>
      <c r="T99" s="96" t="s">
        <v>102</v>
      </c>
      <c r="U99" s="114" t="s">
        <v>217</v>
      </c>
      <c r="V99" s="80" t="s">
        <v>182</v>
      </c>
      <c r="W99" s="88" t="s">
        <v>49</v>
      </c>
    </row>
    <row r="100" spans="2:24" ht="18" customHeight="1" x14ac:dyDescent="0.3">
      <c r="B100" s="25" t="s">
        <v>228</v>
      </c>
      <c r="C100" s="25"/>
      <c r="D100" s="25"/>
      <c r="E100" s="25"/>
      <c r="F100" s="26" t="s">
        <v>40</v>
      </c>
      <c r="G100" s="27" t="s">
        <v>49</v>
      </c>
      <c r="H100" s="28"/>
      <c r="I100" s="29"/>
      <c r="J100" s="30"/>
      <c r="K100" s="75">
        <v>0</v>
      </c>
      <c r="L100" s="76">
        <v>0</v>
      </c>
      <c r="M100" s="77">
        <f t="shared" si="8"/>
        <v>0</v>
      </c>
      <c r="N100" s="75"/>
      <c r="O100" s="76"/>
      <c r="P100" s="78">
        <f t="shared" si="9"/>
        <v>0</v>
      </c>
      <c r="Q100" s="79"/>
      <c r="R100" s="90"/>
      <c r="S100" s="91"/>
      <c r="T100" s="82" t="s">
        <v>40</v>
      </c>
      <c r="U100" s="91" t="s">
        <v>40</v>
      </c>
      <c r="V100" s="36" t="s">
        <v>40</v>
      </c>
      <c r="W100" s="88" t="s">
        <v>49</v>
      </c>
    </row>
    <row r="101" spans="2:24" ht="18" customHeight="1" x14ac:dyDescent="0.3">
      <c r="B101" s="25" t="s">
        <v>229</v>
      </c>
      <c r="C101" s="25"/>
      <c r="D101" s="25"/>
      <c r="E101" s="25"/>
      <c r="F101" s="26" t="s">
        <v>53</v>
      </c>
      <c r="G101" s="27" t="s">
        <v>126</v>
      </c>
      <c r="H101" s="28">
        <v>6122</v>
      </c>
      <c r="I101" s="29" t="s">
        <v>108</v>
      </c>
      <c r="J101" s="30" t="s">
        <v>230</v>
      </c>
      <c r="K101" s="75">
        <v>0</v>
      </c>
      <c r="L101" s="76">
        <v>25000</v>
      </c>
      <c r="M101" s="77">
        <f t="shared" si="8"/>
        <v>25000</v>
      </c>
      <c r="N101" s="75"/>
      <c r="O101" s="76">
        <v>25000</v>
      </c>
      <c r="P101" s="78">
        <f t="shared" si="9"/>
        <v>25000</v>
      </c>
      <c r="Q101" s="79"/>
      <c r="R101" s="90">
        <v>46045</v>
      </c>
      <c r="S101" s="91"/>
      <c r="T101" s="82" t="s">
        <v>102</v>
      </c>
      <c r="U101" s="91" t="s">
        <v>64</v>
      </c>
      <c r="V101" s="36" t="s">
        <v>182</v>
      </c>
      <c r="W101" s="88" t="s">
        <v>49</v>
      </c>
    </row>
    <row r="102" spans="2:24" ht="18" customHeight="1" x14ac:dyDescent="0.3">
      <c r="B102" s="25" t="s">
        <v>231</v>
      </c>
      <c r="C102" s="25"/>
      <c r="D102" s="25"/>
      <c r="E102" s="25"/>
      <c r="F102" s="26" t="s">
        <v>53</v>
      </c>
      <c r="G102" s="27" t="s">
        <v>121</v>
      </c>
      <c r="H102" s="28">
        <v>6121</v>
      </c>
      <c r="I102" s="29" t="s">
        <v>108</v>
      </c>
      <c r="J102" s="30" t="s">
        <v>232</v>
      </c>
      <c r="K102" s="75">
        <v>0</v>
      </c>
      <c r="L102" s="76">
        <v>21000</v>
      </c>
      <c r="M102" s="77">
        <f t="shared" si="8"/>
        <v>21000</v>
      </c>
      <c r="N102" s="75"/>
      <c r="O102" s="76">
        <v>21000</v>
      </c>
      <c r="P102" s="78">
        <f t="shared" si="9"/>
        <v>21000</v>
      </c>
      <c r="Q102" s="79"/>
      <c r="R102" s="90">
        <v>46038</v>
      </c>
      <c r="S102" s="91"/>
      <c r="T102" s="82" t="s">
        <v>63</v>
      </c>
      <c r="U102" s="91" t="s">
        <v>103</v>
      </c>
      <c r="V102" s="36" t="s">
        <v>182</v>
      </c>
      <c r="W102" s="88" t="s">
        <v>49</v>
      </c>
    </row>
    <row r="103" spans="2:24" ht="18" customHeight="1" x14ac:dyDescent="0.3">
      <c r="B103" s="25" t="s">
        <v>233</v>
      </c>
      <c r="C103" s="25"/>
      <c r="D103" s="25"/>
      <c r="E103" s="25"/>
      <c r="F103" s="26" t="s">
        <v>53</v>
      </c>
      <c r="G103" s="27" t="s">
        <v>54</v>
      </c>
      <c r="H103" s="28">
        <v>6129</v>
      </c>
      <c r="I103" s="29" t="s">
        <v>108</v>
      </c>
      <c r="J103" s="30" t="s">
        <v>234</v>
      </c>
      <c r="K103" s="75"/>
      <c r="L103" s="76">
        <v>35000</v>
      </c>
      <c r="M103" s="77">
        <f t="shared" si="8"/>
        <v>35000</v>
      </c>
      <c r="N103" s="75"/>
      <c r="O103" s="76"/>
      <c r="P103" s="78">
        <f t="shared" si="9"/>
        <v>0</v>
      </c>
      <c r="Q103" s="79"/>
      <c r="R103" s="90"/>
      <c r="S103" s="91"/>
      <c r="T103" s="82" t="s">
        <v>63</v>
      </c>
      <c r="U103" s="91" t="s">
        <v>103</v>
      </c>
      <c r="V103" s="36" t="s">
        <v>182</v>
      </c>
      <c r="W103" s="88" t="s">
        <v>49</v>
      </c>
    </row>
    <row r="104" spans="2:24" ht="18" customHeight="1" x14ac:dyDescent="0.3">
      <c r="B104" s="25" t="s">
        <v>235</v>
      </c>
      <c r="C104" s="25"/>
      <c r="D104" s="25"/>
      <c r="E104" s="25"/>
      <c r="F104" s="26"/>
      <c r="G104" s="27"/>
      <c r="H104" s="28"/>
      <c r="I104" s="29"/>
      <c r="J104" s="30"/>
      <c r="K104" s="75"/>
      <c r="L104" s="76"/>
      <c r="M104" s="77"/>
      <c r="N104" s="75"/>
      <c r="O104" s="76">
        <v>26800</v>
      </c>
      <c r="P104" s="78">
        <f t="shared" si="9"/>
        <v>26800</v>
      </c>
      <c r="Q104" s="79"/>
      <c r="R104" s="90">
        <v>46037</v>
      </c>
      <c r="S104" s="91"/>
      <c r="T104" s="82"/>
      <c r="U104" s="91"/>
      <c r="V104" s="36"/>
      <c r="W104" s="88"/>
    </row>
    <row r="105" spans="2:24" ht="18" customHeight="1" x14ac:dyDescent="0.3">
      <c r="B105" s="25" t="s">
        <v>236</v>
      </c>
      <c r="C105" s="25"/>
      <c r="D105" s="25"/>
      <c r="E105" s="25"/>
      <c r="F105" s="26" t="s">
        <v>53</v>
      </c>
      <c r="G105" s="27" t="s">
        <v>126</v>
      </c>
      <c r="H105" s="28">
        <v>6122</v>
      </c>
      <c r="I105" s="29" t="s">
        <v>55</v>
      </c>
      <c r="J105" s="30" t="s">
        <v>237</v>
      </c>
      <c r="K105" s="75">
        <v>85000</v>
      </c>
      <c r="L105" s="76">
        <v>0</v>
      </c>
      <c r="M105" s="77">
        <f t="shared" si="8"/>
        <v>85000</v>
      </c>
      <c r="N105" s="75">
        <v>85000</v>
      </c>
      <c r="O105" s="76"/>
      <c r="P105" s="78">
        <f t="shared" si="9"/>
        <v>85000</v>
      </c>
      <c r="Q105" s="79">
        <v>78860</v>
      </c>
      <c r="R105" s="90">
        <v>45960</v>
      </c>
      <c r="S105" s="91">
        <v>46140</v>
      </c>
      <c r="T105" s="82" t="s">
        <v>102</v>
      </c>
      <c r="U105" s="91" t="s">
        <v>128</v>
      </c>
      <c r="V105" s="36" t="s">
        <v>182</v>
      </c>
      <c r="W105" s="88" t="s">
        <v>49</v>
      </c>
      <c r="X105" s="3" t="s">
        <v>60</v>
      </c>
    </row>
    <row r="106" spans="2:24" ht="18" customHeight="1" x14ac:dyDescent="0.3">
      <c r="B106" s="25" t="s">
        <v>238</v>
      </c>
      <c r="C106" s="25"/>
      <c r="D106" s="25"/>
      <c r="E106" s="89"/>
      <c r="F106" s="26" t="s">
        <v>67</v>
      </c>
      <c r="G106" s="27" t="s">
        <v>126</v>
      </c>
      <c r="H106" s="28">
        <v>6222</v>
      </c>
      <c r="I106" s="29" t="s">
        <v>55</v>
      </c>
      <c r="J106" s="30" t="s">
        <v>239</v>
      </c>
      <c r="K106" s="75">
        <v>30000</v>
      </c>
      <c r="L106" s="76">
        <v>20000</v>
      </c>
      <c r="M106" s="77">
        <f t="shared" si="8"/>
        <v>50000</v>
      </c>
      <c r="N106" s="75"/>
      <c r="O106" s="76"/>
      <c r="P106" s="78">
        <f t="shared" si="9"/>
        <v>0</v>
      </c>
      <c r="Q106" s="79"/>
      <c r="R106" s="90"/>
      <c r="S106" s="91"/>
      <c r="T106" s="82" t="s">
        <v>63</v>
      </c>
      <c r="U106" s="91" t="s">
        <v>149</v>
      </c>
      <c r="V106" s="36" t="s">
        <v>182</v>
      </c>
      <c r="W106" s="88" t="s">
        <v>49</v>
      </c>
    </row>
    <row r="107" spans="2:24" ht="18" customHeight="1" x14ac:dyDescent="0.3">
      <c r="B107" s="25" t="s">
        <v>240</v>
      </c>
      <c r="C107" s="25"/>
      <c r="D107" s="25"/>
      <c r="E107" s="89"/>
      <c r="F107" s="26"/>
      <c r="G107" s="27"/>
      <c r="H107" s="28"/>
      <c r="I107" s="29"/>
      <c r="J107" s="30"/>
      <c r="K107" s="75"/>
      <c r="L107" s="76"/>
      <c r="M107" s="77"/>
      <c r="N107" s="75"/>
      <c r="O107" s="76">
        <v>19000</v>
      </c>
      <c r="P107" s="78">
        <f t="shared" si="9"/>
        <v>19000</v>
      </c>
      <c r="Q107" s="79">
        <v>18850</v>
      </c>
      <c r="R107" s="90">
        <v>46030</v>
      </c>
      <c r="S107" s="91">
        <v>46077</v>
      </c>
      <c r="T107" s="82"/>
      <c r="U107" s="91"/>
      <c r="V107" s="36"/>
      <c r="W107" s="88"/>
    </row>
    <row r="108" spans="2:24" ht="18" customHeight="1" x14ac:dyDescent="0.3">
      <c r="B108" s="25" t="s">
        <v>241</v>
      </c>
      <c r="C108" s="25"/>
      <c r="D108" s="25"/>
      <c r="E108" s="89"/>
      <c r="F108" s="26"/>
      <c r="G108" s="27"/>
      <c r="H108" s="28"/>
      <c r="I108" s="29"/>
      <c r="J108" s="30"/>
      <c r="K108" s="75"/>
      <c r="L108" s="76"/>
      <c r="M108" s="77"/>
      <c r="N108" s="75"/>
      <c r="O108" s="76">
        <v>15000</v>
      </c>
      <c r="P108" s="78">
        <f t="shared" si="9"/>
        <v>15000</v>
      </c>
      <c r="Q108" s="79"/>
      <c r="R108" s="90">
        <v>46113</v>
      </c>
      <c r="S108" s="91"/>
      <c r="T108" s="82"/>
      <c r="U108" s="91"/>
      <c r="V108" s="36"/>
      <c r="W108" s="88"/>
    </row>
    <row r="109" spans="2:24" ht="18" customHeight="1" x14ac:dyDescent="0.3">
      <c r="B109" s="25" t="s">
        <v>242</v>
      </c>
      <c r="C109" s="25"/>
      <c r="D109" s="25"/>
      <c r="E109" s="89"/>
      <c r="F109" s="26" t="s">
        <v>67</v>
      </c>
      <c r="G109" s="27" t="s">
        <v>126</v>
      </c>
      <c r="H109" s="28">
        <v>6222</v>
      </c>
      <c r="I109" s="29" t="s">
        <v>55</v>
      </c>
      <c r="J109" s="30" t="s">
        <v>243</v>
      </c>
      <c r="K109" s="75">
        <v>350000</v>
      </c>
      <c r="L109" s="76">
        <v>200000</v>
      </c>
      <c r="M109" s="77">
        <f t="shared" si="8"/>
        <v>550000</v>
      </c>
      <c r="N109" s="75"/>
      <c r="O109" s="76">
        <v>550000</v>
      </c>
      <c r="P109" s="78">
        <f t="shared" si="9"/>
        <v>550000</v>
      </c>
      <c r="Q109" s="79"/>
      <c r="R109" s="90">
        <v>45915</v>
      </c>
      <c r="S109" s="91"/>
      <c r="T109" s="82" t="s">
        <v>63</v>
      </c>
      <c r="U109" s="91" t="s">
        <v>244</v>
      </c>
      <c r="V109" s="36" t="s">
        <v>182</v>
      </c>
      <c r="W109" s="88" t="s">
        <v>49</v>
      </c>
      <c r="X109" s="3" t="s">
        <v>60</v>
      </c>
    </row>
    <row r="110" spans="2:24" ht="18" customHeight="1" x14ac:dyDescent="0.3">
      <c r="B110" s="25" t="s">
        <v>245</v>
      </c>
      <c r="C110" s="25"/>
      <c r="D110" s="25"/>
      <c r="E110" s="89"/>
      <c r="F110" s="26" t="s">
        <v>67</v>
      </c>
      <c r="G110" s="27" t="s">
        <v>126</v>
      </c>
      <c r="H110" s="28">
        <v>6222</v>
      </c>
      <c r="I110" s="29" t="s">
        <v>108</v>
      </c>
      <c r="J110" s="30" t="s">
        <v>246</v>
      </c>
      <c r="K110" s="75">
        <v>0</v>
      </c>
      <c r="L110" s="76">
        <v>50000</v>
      </c>
      <c r="M110" s="77">
        <f t="shared" si="8"/>
        <v>50000</v>
      </c>
      <c r="N110" s="75"/>
      <c r="O110" s="76">
        <v>50000</v>
      </c>
      <c r="P110" s="78">
        <f t="shared" si="9"/>
        <v>50000</v>
      </c>
      <c r="Q110" s="79">
        <v>49992</v>
      </c>
      <c r="R110" s="90">
        <v>45923</v>
      </c>
      <c r="S110" s="91">
        <v>46007</v>
      </c>
      <c r="T110" s="82" t="s">
        <v>63</v>
      </c>
      <c r="U110" s="91" t="s">
        <v>244</v>
      </c>
      <c r="V110" s="36" t="s">
        <v>182</v>
      </c>
      <c r="W110" s="88" t="s">
        <v>49</v>
      </c>
      <c r="X110" s="3" t="s">
        <v>60</v>
      </c>
    </row>
    <row r="111" spans="2:24" ht="18" customHeight="1" x14ac:dyDescent="0.3">
      <c r="B111" s="25" t="s">
        <v>247</v>
      </c>
      <c r="C111" s="25"/>
      <c r="D111" s="25"/>
      <c r="E111" s="89"/>
      <c r="F111" s="26" t="s">
        <v>67</v>
      </c>
      <c r="G111" s="27" t="s">
        <v>126</v>
      </c>
      <c r="H111" s="28">
        <v>6222</v>
      </c>
      <c r="I111" s="29" t="s">
        <v>55</v>
      </c>
      <c r="J111" s="30" t="s">
        <v>248</v>
      </c>
      <c r="K111" s="75">
        <v>77000</v>
      </c>
      <c r="L111" s="76">
        <v>0</v>
      </c>
      <c r="M111" s="77">
        <f t="shared" si="8"/>
        <v>77000</v>
      </c>
      <c r="N111" s="75">
        <v>77000</v>
      </c>
      <c r="O111" s="76"/>
      <c r="P111" s="78">
        <f t="shared" si="9"/>
        <v>77000</v>
      </c>
      <c r="Q111" s="79">
        <v>67710</v>
      </c>
      <c r="R111" s="90">
        <v>45915</v>
      </c>
      <c r="S111" s="91">
        <v>46049</v>
      </c>
      <c r="T111" s="82" t="s">
        <v>63</v>
      </c>
      <c r="U111" s="91" t="s">
        <v>244</v>
      </c>
      <c r="V111" s="36" t="s">
        <v>182</v>
      </c>
      <c r="W111" s="88" t="s">
        <v>49</v>
      </c>
      <c r="X111" s="3" t="s">
        <v>60</v>
      </c>
    </row>
    <row r="112" spans="2:24" ht="18" customHeight="1" x14ac:dyDescent="0.3">
      <c r="B112" s="25" t="s">
        <v>249</v>
      </c>
      <c r="C112" s="25"/>
      <c r="D112" s="25"/>
      <c r="E112" s="89"/>
      <c r="F112" s="26" t="s">
        <v>67</v>
      </c>
      <c r="G112" s="27" t="s">
        <v>68</v>
      </c>
      <c r="H112" s="28">
        <v>6229</v>
      </c>
      <c r="I112" s="29" t="s">
        <v>108</v>
      </c>
      <c r="J112" s="30" t="s">
        <v>250</v>
      </c>
      <c r="K112" s="75">
        <v>0</v>
      </c>
      <c r="L112" s="76">
        <v>55000</v>
      </c>
      <c r="M112" s="77">
        <f t="shared" si="8"/>
        <v>55000</v>
      </c>
      <c r="N112" s="75"/>
      <c r="O112" s="76"/>
      <c r="P112" s="78">
        <f t="shared" si="9"/>
        <v>0</v>
      </c>
      <c r="Q112" s="79"/>
      <c r="R112" s="90"/>
      <c r="S112" s="91"/>
      <c r="T112" s="82" t="s">
        <v>63</v>
      </c>
      <c r="U112" s="91" t="s">
        <v>58</v>
      </c>
      <c r="V112" s="36" t="s">
        <v>65</v>
      </c>
      <c r="W112" s="88" t="s">
        <v>49</v>
      </c>
    </row>
    <row r="113" spans="2:24" ht="18" customHeight="1" x14ac:dyDescent="0.3">
      <c r="B113" s="25" t="s">
        <v>251</v>
      </c>
      <c r="C113" s="25"/>
      <c r="D113" s="25"/>
      <c r="E113" s="89"/>
      <c r="F113" s="26"/>
      <c r="G113" s="27"/>
      <c r="H113" s="28"/>
      <c r="I113" s="29"/>
      <c r="J113" s="30"/>
      <c r="K113" s="75"/>
      <c r="L113" s="76"/>
      <c r="M113" s="77"/>
      <c r="N113" s="75"/>
      <c r="O113" s="76">
        <v>37000</v>
      </c>
      <c r="P113" s="78">
        <f t="shared" si="9"/>
        <v>37000</v>
      </c>
      <c r="Q113" s="79"/>
      <c r="R113" s="90">
        <v>46031</v>
      </c>
      <c r="S113" s="91"/>
      <c r="T113" s="82"/>
      <c r="U113" s="91"/>
      <c r="V113" s="36"/>
      <c r="W113" s="88"/>
    </row>
    <row r="114" spans="2:24" ht="18" customHeight="1" x14ac:dyDescent="0.3">
      <c r="B114" s="25" t="s">
        <v>252</v>
      </c>
      <c r="C114" s="25"/>
      <c r="D114" s="25"/>
      <c r="E114" s="89"/>
      <c r="F114" s="26"/>
      <c r="G114" s="27"/>
      <c r="H114" s="28"/>
      <c r="I114" s="29"/>
      <c r="J114" s="30"/>
      <c r="K114" s="75"/>
      <c r="L114" s="76"/>
      <c r="M114" s="77"/>
      <c r="N114" s="75"/>
      <c r="O114" s="76">
        <v>18000</v>
      </c>
      <c r="P114" s="78">
        <f t="shared" si="9"/>
        <v>18000</v>
      </c>
      <c r="Q114" s="79">
        <v>18000</v>
      </c>
      <c r="R114" s="90">
        <v>46050</v>
      </c>
      <c r="S114" s="91">
        <v>46142</v>
      </c>
      <c r="T114" s="82"/>
      <c r="U114" s="91"/>
      <c r="V114" s="36"/>
      <c r="W114" s="88"/>
    </row>
    <row r="115" spans="2:24" ht="18" customHeight="1" x14ac:dyDescent="0.3">
      <c r="B115" s="25" t="s">
        <v>253</v>
      </c>
      <c r="C115" s="25"/>
      <c r="D115" s="25"/>
      <c r="E115" s="89"/>
      <c r="F115" s="26" t="s">
        <v>67</v>
      </c>
      <c r="G115" s="27" t="s">
        <v>121</v>
      </c>
      <c r="H115" s="28">
        <v>6221</v>
      </c>
      <c r="I115" s="29" t="s">
        <v>108</v>
      </c>
      <c r="J115" s="30" t="s">
        <v>254</v>
      </c>
      <c r="K115" s="75">
        <v>0</v>
      </c>
      <c r="L115" s="76">
        <v>60000</v>
      </c>
      <c r="M115" s="77">
        <f t="shared" si="8"/>
        <v>60000</v>
      </c>
      <c r="N115" s="75"/>
      <c r="O115" s="76"/>
      <c r="P115" s="78">
        <f t="shared" si="9"/>
        <v>0</v>
      </c>
      <c r="Q115" s="79"/>
      <c r="R115" s="90"/>
      <c r="S115" s="91"/>
      <c r="T115" s="82" t="s">
        <v>63</v>
      </c>
      <c r="U115" s="91" t="s">
        <v>149</v>
      </c>
      <c r="V115" s="36" t="s">
        <v>182</v>
      </c>
      <c r="W115" s="88" t="s">
        <v>49</v>
      </c>
    </row>
    <row r="116" spans="2:24" ht="18" customHeight="1" x14ac:dyDescent="0.3">
      <c r="B116" s="25" t="s">
        <v>255</v>
      </c>
      <c r="C116" s="25"/>
      <c r="D116" s="25"/>
      <c r="E116" s="89"/>
      <c r="F116" s="26"/>
      <c r="G116" s="27"/>
      <c r="H116" s="28"/>
      <c r="I116" s="29"/>
      <c r="J116" s="30"/>
      <c r="K116" s="75"/>
      <c r="L116" s="76"/>
      <c r="M116" s="77"/>
      <c r="N116" s="75"/>
      <c r="O116" s="76">
        <v>45000</v>
      </c>
      <c r="P116" s="78">
        <f t="shared" si="9"/>
        <v>45000</v>
      </c>
      <c r="Q116" s="79"/>
      <c r="R116" s="90">
        <v>46064</v>
      </c>
      <c r="S116" s="91"/>
      <c r="T116" s="82"/>
      <c r="U116" s="91"/>
      <c r="V116" s="36"/>
      <c r="W116" s="88"/>
    </row>
    <row r="117" spans="2:24" ht="18" customHeight="1" x14ac:dyDescent="0.3">
      <c r="B117" s="25" t="s">
        <v>190</v>
      </c>
      <c r="C117" s="25"/>
      <c r="D117" s="25"/>
      <c r="E117" s="89"/>
      <c r="F117" s="26" t="s">
        <v>191</v>
      </c>
      <c r="G117" s="27" t="s">
        <v>192</v>
      </c>
      <c r="H117" s="28"/>
      <c r="I117" s="29"/>
      <c r="J117" s="30"/>
      <c r="K117" s="75"/>
      <c r="L117" s="76"/>
      <c r="M117" s="77"/>
      <c r="N117" s="75"/>
      <c r="O117" s="76">
        <v>15000</v>
      </c>
      <c r="P117" s="78">
        <f t="shared" si="9"/>
        <v>15000</v>
      </c>
      <c r="Q117" s="79"/>
      <c r="R117" s="90">
        <v>46105</v>
      </c>
      <c r="S117" s="91"/>
      <c r="T117" s="82"/>
      <c r="U117" s="91"/>
      <c r="V117" s="36"/>
      <c r="W117" s="88"/>
    </row>
    <row r="118" spans="2:24" ht="18" customHeight="1" x14ac:dyDescent="0.3">
      <c r="B118" s="25" t="s">
        <v>256</v>
      </c>
      <c r="C118" s="25"/>
      <c r="D118" s="25"/>
      <c r="E118" s="89"/>
      <c r="F118" s="26" t="s">
        <v>67</v>
      </c>
      <c r="G118" s="27" t="s">
        <v>121</v>
      </c>
      <c r="H118" s="28">
        <v>6221</v>
      </c>
      <c r="I118" s="29" t="s">
        <v>55</v>
      </c>
      <c r="J118" s="30" t="s">
        <v>257</v>
      </c>
      <c r="K118" s="75">
        <v>51000</v>
      </c>
      <c r="L118" s="76">
        <v>0</v>
      </c>
      <c r="M118" s="77">
        <f t="shared" si="8"/>
        <v>51000</v>
      </c>
      <c r="N118" s="75"/>
      <c r="O118" s="76"/>
      <c r="P118" s="78">
        <f t="shared" si="9"/>
        <v>0</v>
      </c>
      <c r="Q118" s="79"/>
      <c r="R118" s="90"/>
      <c r="S118" s="91"/>
      <c r="T118" s="82" t="s">
        <v>63</v>
      </c>
      <c r="U118" s="91" t="s">
        <v>149</v>
      </c>
      <c r="V118" s="36" t="s">
        <v>182</v>
      </c>
      <c r="W118" s="88" t="s">
        <v>49</v>
      </c>
    </row>
    <row r="119" spans="2:24" ht="18" customHeight="1" x14ac:dyDescent="0.3">
      <c r="B119" s="25" t="s">
        <v>258</v>
      </c>
      <c r="C119" s="25"/>
      <c r="D119" s="25"/>
      <c r="E119" s="89"/>
      <c r="F119" s="26" t="s">
        <v>67</v>
      </c>
      <c r="G119" s="27" t="s">
        <v>121</v>
      </c>
      <c r="H119" s="28">
        <v>6221</v>
      </c>
      <c r="I119" s="29" t="s">
        <v>55</v>
      </c>
      <c r="J119" s="30" t="s">
        <v>259</v>
      </c>
      <c r="K119" s="75">
        <v>48000</v>
      </c>
      <c r="L119" s="76">
        <v>0</v>
      </c>
      <c r="M119" s="77">
        <f t="shared" si="8"/>
        <v>48000</v>
      </c>
      <c r="N119" s="75"/>
      <c r="O119" s="76"/>
      <c r="P119" s="78">
        <f t="shared" si="9"/>
        <v>0</v>
      </c>
      <c r="Q119" s="79"/>
      <c r="R119" s="90"/>
      <c r="S119" s="91"/>
      <c r="T119" s="82" t="s">
        <v>63</v>
      </c>
      <c r="U119" s="91" t="s">
        <v>149</v>
      </c>
      <c r="V119" s="36" t="s">
        <v>182</v>
      </c>
      <c r="W119" s="88" t="s">
        <v>49</v>
      </c>
    </row>
    <row r="120" spans="2:24" ht="18" customHeight="1" x14ac:dyDescent="0.3">
      <c r="B120" s="25" t="s">
        <v>260</v>
      </c>
      <c r="C120" s="25"/>
      <c r="D120" s="25"/>
      <c r="E120" s="89"/>
      <c r="F120" s="26"/>
      <c r="G120" s="27"/>
      <c r="H120" s="28"/>
      <c r="I120" s="29"/>
      <c r="J120" s="30"/>
      <c r="K120" s="75"/>
      <c r="L120" s="76"/>
      <c r="M120" s="77"/>
      <c r="N120" s="75">
        <v>26000</v>
      </c>
      <c r="O120" s="76"/>
      <c r="P120" s="78">
        <f t="shared" si="9"/>
        <v>26000</v>
      </c>
      <c r="Q120" s="79"/>
      <c r="R120" s="90">
        <v>46136</v>
      </c>
      <c r="S120" s="91"/>
      <c r="T120" s="82"/>
      <c r="U120" s="91"/>
      <c r="V120" s="36"/>
      <c r="W120" s="88"/>
    </row>
    <row r="121" spans="2:24" ht="18" customHeight="1" x14ac:dyDescent="0.3">
      <c r="B121" s="25" t="s">
        <v>261</v>
      </c>
      <c r="C121" s="25"/>
      <c r="D121" s="25"/>
      <c r="E121" s="89"/>
      <c r="F121" s="26" t="s">
        <v>67</v>
      </c>
      <c r="G121" s="27" t="s">
        <v>68</v>
      </c>
      <c r="H121" s="28">
        <v>6229</v>
      </c>
      <c r="I121" s="29" t="s">
        <v>55</v>
      </c>
      <c r="J121" s="30" t="s">
        <v>262</v>
      </c>
      <c r="K121" s="75">
        <v>35000</v>
      </c>
      <c r="L121" s="76">
        <v>0</v>
      </c>
      <c r="M121" s="77">
        <f t="shared" si="8"/>
        <v>35000</v>
      </c>
      <c r="N121" s="75">
        <v>35000</v>
      </c>
      <c r="O121" s="76"/>
      <c r="P121" s="78">
        <f t="shared" si="9"/>
        <v>35000</v>
      </c>
      <c r="Q121" s="79">
        <v>32220</v>
      </c>
      <c r="R121" s="90">
        <v>45946</v>
      </c>
      <c r="S121" s="91">
        <v>46132</v>
      </c>
      <c r="T121" s="82" t="s">
        <v>263</v>
      </c>
      <c r="U121" s="91" t="s">
        <v>264</v>
      </c>
      <c r="V121" s="36" t="s">
        <v>182</v>
      </c>
      <c r="W121" s="88" t="s">
        <v>49</v>
      </c>
      <c r="X121" s="3" t="s">
        <v>60</v>
      </c>
    </row>
    <row r="122" spans="2:24" ht="18" customHeight="1" x14ac:dyDescent="0.3">
      <c r="B122" s="25" t="s">
        <v>265</v>
      </c>
      <c r="C122" s="25"/>
      <c r="D122" s="25"/>
      <c r="E122" s="89"/>
      <c r="F122" s="26" t="s">
        <v>67</v>
      </c>
      <c r="G122" s="27" t="s">
        <v>68</v>
      </c>
      <c r="H122" s="28">
        <v>6229</v>
      </c>
      <c r="I122" s="29" t="s">
        <v>55</v>
      </c>
      <c r="J122" s="30" t="s">
        <v>266</v>
      </c>
      <c r="K122" s="75">
        <v>45000</v>
      </c>
      <c r="L122" s="76">
        <v>0</v>
      </c>
      <c r="M122" s="77">
        <f t="shared" si="8"/>
        <v>45000</v>
      </c>
      <c r="N122" s="75">
        <v>45000</v>
      </c>
      <c r="O122" s="76"/>
      <c r="P122" s="78">
        <f t="shared" si="9"/>
        <v>45000</v>
      </c>
      <c r="Q122" s="79">
        <v>44996</v>
      </c>
      <c r="R122" s="90">
        <v>45972</v>
      </c>
      <c r="S122" s="91">
        <v>46013</v>
      </c>
      <c r="T122" s="82" t="s">
        <v>263</v>
      </c>
      <c r="U122" s="91" t="s">
        <v>264</v>
      </c>
      <c r="V122" s="36" t="s">
        <v>182</v>
      </c>
      <c r="W122" s="88" t="s">
        <v>49</v>
      </c>
      <c r="X122" s="3" t="s">
        <v>60</v>
      </c>
    </row>
    <row r="123" spans="2:24" ht="18" customHeight="1" x14ac:dyDescent="0.3">
      <c r="B123" s="25" t="s">
        <v>267</v>
      </c>
      <c r="C123" s="25"/>
      <c r="D123" s="25"/>
      <c r="E123" s="89"/>
      <c r="F123" s="26" t="s">
        <v>67</v>
      </c>
      <c r="G123" s="27" t="s">
        <v>68</v>
      </c>
      <c r="H123" s="28">
        <v>6229</v>
      </c>
      <c r="I123" s="29" t="s">
        <v>108</v>
      </c>
      <c r="J123" s="30" t="s">
        <v>268</v>
      </c>
      <c r="K123" s="75">
        <v>0</v>
      </c>
      <c r="L123" s="76">
        <v>35000</v>
      </c>
      <c r="M123" s="77">
        <f t="shared" si="8"/>
        <v>35000</v>
      </c>
      <c r="N123" s="75"/>
      <c r="O123" s="76"/>
      <c r="P123" s="78">
        <f t="shared" si="9"/>
        <v>0</v>
      </c>
      <c r="Q123" s="79"/>
      <c r="R123" s="90"/>
      <c r="S123" s="91"/>
      <c r="T123" s="82" t="s">
        <v>269</v>
      </c>
      <c r="U123" s="91" t="s">
        <v>270</v>
      </c>
      <c r="V123" s="36" t="s">
        <v>65</v>
      </c>
      <c r="W123" s="88" t="s">
        <v>49</v>
      </c>
    </row>
    <row r="124" spans="2:24" ht="18" customHeight="1" x14ac:dyDescent="0.3">
      <c r="B124" s="25" t="s">
        <v>271</v>
      </c>
      <c r="C124" s="25"/>
      <c r="D124" s="25"/>
      <c r="E124" s="89"/>
      <c r="F124" s="26" t="s">
        <v>67</v>
      </c>
      <c r="G124" s="27" t="s">
        <v>126</v>
      </c>
      <c r="H124" s="28">
        <v>6222</v>
      </c>
      <c r="I124" s="29" t="s">
        <v>108</v>
      </c>
      <c r="J124" s="30" t="s">
        <v>272</v>
      </c>
      <c r="K124" s="75">
        <v>0</v>
      </c>
      <c r="L124" s="76">
        <v>50000</v>
      </c>
      <c r="M124" s="77">
        <f t="shared" si="8"/>
        <v>50000</v>
      </c>
      <c r="N124" s="75"/>
      <c r="O124" s="76"/>
      <c r="P124" s="78">
        <f t="shared" si="9"/>
        <v>0</v>
      </c>
      <c r="Q124" s="79"/>
      <c r="R124" s="90"/>
      <c r="S124" s="91"/>
      <c r="T124" s="82" t="s">
        <v>63</v>
      </c>
      <c r="U124" s="91" t="s">
        <v>244</v>
      </c>
      <c r="V124" s="36" t="s">
        <v>182</v>
      </c>
      <c r="W124" s="88" t="s">
        <v>49</v>
      </c>
    </row>
    <row r="125" spans="2:24" ht="18" customHeight="1" x14ac:dyDescent="0.3">
      <c r="B125" s="25" t="s">
        <v>273</v>
      </c>
      <c r="C125" s="25"/>
      <c r="D125" s="25"/>
      <c r="E125" s="89"/>
      <c r="F125" s="26"/>
      <c r="G125" s="27"/>
      <c r="H125" s="28"/>
      <c r="I125" s="29"/>
      <c r="J125" s="30"/>
      <c r="K125" s="75"/>
      <c r="L125" s="76"/>
      <c r="M125" s="77"/>
      <c r="N125" s="75"/>
      <c r="O125" s="76">
        <v>35000</v>
      </c>
      <c r="P125" s="78">
        <f t="shared" si="9"/>
        <v>35000</v>
      </c>
      <c r="Q125" s="79">
        <v>33270</v>
      </c>
      <c r="R125" s="90">
        <v>46076</v>
      </c>
      <c r="S125" s="91">
        <v>46139</v>
      </c>
      <c r="T125" s="82"/>
      <c r="U125" s="91"/>
      <c r="V125" s="36"/>
      <c r="W125" s="88"/>
    </row>
    <row r="126" spans="2:24" ht="18" customHeight="1" x14ac:dyDescent="0.3">
      <c r="B126" s="25" t="s">
        <v>274</v>
      </c>
      <c r="C126" s="25"/>
      <c r="D126" s="25"/>
      <c r="E126" s="89"/>
      <c r="F126" s="26" t="s">
        <v>67</v>
      </c>
      <c r="G126" s="27" t="s">
        <v>121</v>
      </c>
      <c r="H126" s="28">
        <v>6221</v>
      </c>
      <c r="I126" s="29" t="s">
        <v>108</v>
      </c>
      <c r="J126" s="30" t="s">
        <v>275</v>
      </c>
      <c r="K126" s="75">
        <v>0</v>
      </c>
      <c r="L126" s="76">
        <v>15000</v>
      </c>
      <c r="M126" s="77">
        <f t="shared" si="8"/>
        <v>15000</v>
      </c>
      <c r="N126" s="75"/>
      <c r="O126" s="76"/>
      <c r="P126" s="78">
        <f t="shared" si="9"/>
        <v>0</v>
      </c>
      <c r="Q126" s="79"/>
      <c r="R126" s="90"/>
      <c r="S126" s="91"/>
      <c r="T126" s="82" t="s">
        <v>63</v>
      </c>
      <c r="U126" s="91" t="s">
        <v>149</v>
      </c>
      <c r="V126" s="36" t="s">
        <v>182</v>
      </c>
      <c r="W126" s="88" t="s">
        <v>49</v>
      </c>
    </row>
    <row r="127" spans="2:24" ht="18" customHeight="1" x14ac:dyDescent="0.3">
      <c r="B127" s="25" t="s">
        <v>276</v>
      </c>
      <c r="C127" s="25"/>
      <c r="D127" s="25"/>
      <c r="E127" s="89"/>
      <c r="F127" s="26"/>
      <c r="G127" s="27"/>
      <c r="H127" s="28"/>
      <c r="I127" s="29"/>
      <c r="J127" s="30"/>
      <c r="K127" s="75"/>
      <c r="L127" s="76"/>
      <c r="M127" s="77"/>
      <c r="N127" s="75"/>
      <c r="O127" s="76">
        <v>13200</v>
      </c>
      <c r="P127" s="78">
        <f t="shared" si="9"/>
        <v>13200</v>
      </c>
      <c r="Q127" s="79">
        <v>13153</v>
      </c>
      <c r="R127" s="90">
        <v>46094</v>
      </c>
      <c r="S127" s="91">
        <v>46135</v>
      </c>
      <c r="T127" s="82"/>
      <c r="U127" s="91"/>
      <c r="V127" s="36"/>
      <c r="W127" s="88"/>
    </row>
    <row r="128" spans="2:24" ht="18" customHeight="1" x14ac:dyDescent="0.3">
      <c r="B128" s="25" t="s">
        <v>277</v>
      </c>
      <c r="C128" s="25"/>
      <c r="D128" s="25"/>
      <c r="E128" s="25"/>
      <c r="F128" s="26" t="s">
        <v>138</v>
      </c>
      <c r="G128" s="27" t="s">
        <v>156</v>
      </c>
      <c r="H128" s="28">
        <v>6421</v>
      </c>
      <c r="I128" s="29" t="s">
        <v>55</v>
      </c>
      <c r="J128" s="30" t="s">
        <v>278</v>
      </c>
      <c r="K128" s="75">
        <v>70000</v>
      </c>
      <c r="L128" s="76">
        <v>0</v>
      </c>
      <c r="M128" s="77">
        <f t="shared" si="8"/>
        <v>70000</v>
      </c>
      <c r="N128" s="75">
        <v>70000</v>
      </c>
      <c r="O128" s="76"/>
      <c r="P128" s="78">
        <f t="shared" si="9"/>
        <v>70000</v>
      </c>
      <c r="Q128" s="79">
        <v>65800</v>
      </c>
      <c r="R128" s="90">
        <v>45915</v>
      </c>
      <c r="S128" s="91">
        <v>46051</v>
      </c>
      <c r="T128" s="82" t="s">
        <v>102</v>
      </c>
      <c r="U128" s="91" t="s">
        <v>103</v>
      </c>
      <c r="V128" s="36" t="s">
        <v>182</v>
      </c>
      <c r="W128" s="88" t="s">
        <v>49</v>
      </c>
      <c r="X128" s="3" t="s">
        <v>60</v>
      </c>
    </row>
    <row r="129" spans="2:23" ht="18" customHeight="1" x14ac:dyDescent="0.3">
      <c r="B129" s="25" t="s">
        <v>279</v>
      </c>
      <c r="C129" s="25"/>
      <c r="D129" s="25"/>
      <c r="E129" s="25"/>
      <c r="F129" s="26" t="s">
        <v>138</v>
      </c>
      <c r="G129" s="27" t="s">
        <v>156</v>
      </c>
      <c r="H129" s="28">
        <v>6421</v>
      </c>
      <c r="I129" s="29" t="s">
        <v>108</v>
      </c>
      <c r="J129" s="30" t="s">
        <v>280</v>
      </c>
      <c r="K129" s="75">
        <v>0</v>
      </c>
      <c r="L129" s="76">
        <v>60000</v>
      </c>
      <c r="M129" s="77">
        <f t="shared" si="8"/>
        <v>60000</v>
      </c>
      <c r="N129" s="75"/>
      <c r="O129" s="76"/>
      <c r="P129" s="78">
        <f t="shared" si="9"/>
        <v>0</v>
      </c>
      <c r="Q129" s="79"/>
      <c r="R129" s="90"/>
      <c r="S129" s="91"/>
      <c r="T129" s="82" t="s">
        <v>102</v>
      </c>
      <c r="U129" s="91" t="s">
        <v>103</v>
      </c>
      <c r="V129" s="36" t="s">
        <v>65</v>
      </c>
      <c r="W129" s="88" t="s">
        <v>49</v>
      </c>
    </row>
    <row r="130" spans="2:23" ht="18" customHeight="1" x14ac:dyDescent="0.3">
      <c r="B130" s="25" t="s">
        <v>281</v>
      </c>
      <c r="C130" s="25"/>
      <c r="D130" s="25"/>
      <c r="E130" s="25"/>
      <c r="F130" s="26"/>
      <c r="G130" s="27"/>
      <c r="H130" s="28"/>
      <c r="I130" s="29"/>
      <c r="J130" s="30"/>
      <c r="K130" s="75"/>
      <c r="L130" s="76"/>
      <c r="M130" s="77"/>
      <c r="N130" s="75"/>
      <c r="O130" s="76">
        <v>3800</v>
      </c>
      <c r="P130" s="78">
        <f t="shared" si="9"/>
        <v>3800</v>
      </c>
      <c r="Q130" s="79">
        <v>3800</v>
      </c>
      <c r="R130" s="90">
        <v>46084</v>
      </c>
      <c r="S130" s="91">
        <v>46107</v>
      </c>
      <c r="T130" s="82"/>
      <c r="U130" s="91"/>
      <c r="V130" s="80"/>
      <c r="W130" s="88"/>
    </row>
    <row r="131" spans="2:23" ht="18" customHeight="1" x14ac:dyDescent="0.3">
      <c r="B131" s="25" t="s">
        <v>190</v>
      </c>
      <c r="C131" s="25"/>
      <c r="D131" s="25"/>
      <c r="E131" s="25"/>
      <c r="F131" s="26" t="s">
        <v>191</v>
      </c>
      <c r="G131" s="27" t="s">
        <v>192</v>
      </c>
      <c r="H131" s="28"/>
      <c r="I131" s="29"/>
      <c r="J131" s="30"/>
      <c r="K131" s="75"/>
      <c r="L131" s="76"/>
      <c r="M131" s="77"/>
      <c r="N131" s="75"/>
      <c r="O131" s="76">
        <v>45561</v>
      </c>
      <c r="P131" s="78">
        <f t="shared" si="9"/>
        <v>45561</v>
      </c>
      <c r="Q131" s="79"/>
      <c r="R131" s="90">
        <v>46105</v>
      </c>
      <c r="S131" s="91"/>
      <c r="T131" s="82"/>
      <c r="U131" s="91"/>
      <c r="V131" s="80"/>
      <c r="W131" s="88"/>
    </row>
    <row r="132" spans="2:23" ht="18" customHeight="1" x14ac:dyDescent="0.3">
      <c r="B132" s="25" t="s">
        <v>282</v>
      </c>
      <c r="C132" s="25"/>
      <c r="D132" s="25"/>
      <c r="E132" s="25"/>
      <c r="F132" s="26"/>
      <c r="G132" s="27"/>
      <c r="H132" s="28"/>
      <c r="I132" s="29"/>
      <c r="J132" s="30"/>
      <c r="K132" s="75"/>
      <c r="L132" s="76"/>
      <c r="M132" s="77"/>
      <c r="N132" s="75"/>
      <c r="O132" s="76">
        <v>9897</v>
      </c>
      <c r="P132" s="78">
        <f t="shared" si="9"/>
        <v>9897</v>
      </c>
      <c r="Q132" s="79"/>
      <c r="R132" s="90">
        <v>46135</v>
      </c>
      <c r="S132" s="91"/>
      <c r="T132" s="82"/>
      <c r="U132" s="91"/>
      <c r="V132" s="80"/>
      <c r="W132" s="88"/>
    </row>
    <row r="133" spans="2:23" ht="18" customHeight="1" x14ac:dyDescent="0.3">
      <c r="B133" s="25" t="s">
        <v>283</v>
      </c>
      <c r="C133" s="81"/>
      <c r="D133" s="25"/>
      <c r="E133" s="25"/>
      <c r="F133" s="26" t="s">
        <v>49</v>
      </c>
      <c r="G133" s="27" t="s">
        <v>49</v>
      </c>
      <c r="H133" s="28"/>
      <c r="I133" s="29"/>
      <c r="J133" s="30"/>
      <c r="K133" s="75">
        <v>0</v>
      </c>
      <c r="L133" s="76">
        <v>0</v>
      </c>
      <c r="M133" s="77">
        <f t="shared" si="8"/>
        <v>0</v>
      </c>
      <c r="N133" s="75"/>
      <c r="O133" s="76"/>
      <c r="P133" s="78">
        <f t="shared" si="9"/>
        <v>0</v>
      </c>
      <c r="Q133" s="79"/>
      <c r="R133" s="36"/>
      <c r="S133" s="37"/>
      <c r="T133" s="80" t="s">
        <v>49</v>
      </c>
      <c r="U133" s="37" t="s">
        <v>49</v>
      </c>
      <c r="V133" s="82" t="s">
        <v>40</v>
      </c>
      <c r="W133" s="88" t="s">
        <v>49</v>
      </c>
    </row>
    <row r="134" spans="2:23" ht="18" customHeight="1" x14ac:dyDescent="0.3">
      <c r="B134" s="25" t="s">
        <v>284</v>
      </c>
      <c r="C134" s="25"/>
      <c r="D134" s="25"/>
      <c r="E134" s="25"/>
      <c r="F134" s="26" t="s">
        <v>53</v>
      </c>
      <c r="G134" s="27" t="s">
        <v>285</v>
      </c>
      <c r="H134" s="28">
        <v>6110</v>
      </c>
      <c r="I134" s="29" t="s">
        <v>108</v>
      </c>
      <c r="J134" s="30" t="s">
        <v>286</v>
      </c>
      <c r="K134" s="75">
        <v>0</v>
      </c>
      <c r="L134" s="76">
        <v>40000</v>
      </c>
      <c r="M134" s="77">
        <f t="shared" si="8"/>
        <v>40000</v>
      </c>
      <c r="N134" s="75"/>
      <c r="O134" s="76"/>
      <c r="P134" s="78">
        <f t="shared" si="9"/>
        <v>0</v>
      </c>
      <c r="Q134" s="79"/>
      <c r="R134" s="90"/>
      <c r="S134" s="91"/>
      <c r="T134" s="82" t="s">
        <v>102</v>
      </c>
      <c r="U134" s="91" t="s">
        <v>103</v>
      </c>
      <c r="V134" s="36" t="s">
        <v>182</v>
      </c>
      <c r="W134" s="88" t="s">
        <v>49</v>
      </c>
    </row>
    <row r="135" spans="2:23" ht="18" customHeight="1" x14ac:dyDescent="0.3">
      <c r="B135" s="25" t="s">
        <v>287</v>
      </c>
      <c r="C135" s="25"/>
      <c r="D135" s="25"/>
      <c r="E135" s="25"/>
      <c r="F135" s="26"/>
      <c r="G135" s="27"/>
      <c r="H135" s="28"/>
      <c r="I135" s="29"/>
      <c r="J135" s="30"/>
      <c r="K135" s="75"/>
      <c r="L135" s="76"/>
      <c r="M135" s="77"/>
      <c r="N135" s="75"/>
      <c r="O135" s="76">
        <v>2894</v>
      </c>
      <c r="P135" s="78">
        <f t="shared" si="9"/>
        <v>2894</v>
      </c>
      <c r="Q135" s="79">
        <v>2894</v>
      </c>
      <c r="R135" s="90">
        <v>46065</v>
      </c>
      <c r="S135" s="91">
        <v>46086</v>
      </c>
      <c r="T135" s="82"/>
      <c r="U135" s="91"/>
      <c r="V135" s="36"/>
      <c r="W135" s="88"/>
    </row>
    <row r="136" spans="2:23" ht="18" customHeight="1" x14ac:dyDescent="0.3">
      <c r="B136" s="25" t="s">
        <v>288</v>
      </c>
      <c r="C136" s="25"/>
      <c r="D136" s="25"/>
      <c r="E136" s="25"/>
      <c r="F136" s="26"/>
      <c r="G136" s="27"/>
      <c r="H136" s="28"/>
      <c r="I136" s="29"/>
      <c r="J136" s="30"/>
      <c r="K136" s="75"/>
      <c r="L136" s="76"/>
      <c r="M136" s="77"/>
      <c r="N136" s="75"/>
      <c r="O136" s="76">
        <v>25033</v>
      </c>
      <c r="P136" s="78">
        <f t="shared" si="9"/>
        <v>25033</v>
      </c>
      <c r="Q136" s="79"/>
      <c r="R136" s="90">
        <v>46104</v>
      </c>
      <c r="S136" s="91"/>
      <c r="T136" s="82"/>
      <c r="U136" s="91"/>
      <c r="V136" s="36"/>
      <c r="W136" s="88"/>
    </row>
    <row r="137" spans="2:23" ht="18" customHeight="1" x14ac:dyDescent="0.3">
      <c r="B137" s="25" t="s">
        <v>289</v>
      </c>
      <c r="C137" s="25"/>
      <c r="D137" s="25"/>
      <c r="E137" s="25"/>
      <c r="F137" s="26"/>
      <c r="G137" s="27"/>
      <c r="H137" s="28"/>
      <c r="I137" s="29"/>
      <c r="J137" s="30"/>
      <c r="K137" s="75"/>
      <c r="L137" s="76"/>
      <c r="M137" s="77"/>
      <c r="N137" s="75"/>
      <c r="O137" s="76">
        <v>4500</v>
      </c>
      <c r="P137" s="78">
        <f t="shared" si="9"/>
        <v>4500</v>
      </c>
      <c r="Q137" s="79"/>
      <c r="R137" s="90">
        <v>46127</v>
      </c>
      <c r="S137" s="91"/>
      <c r="T137" s="82"/>
      <c r="U137" s="91"/>
      <c r="V137" s="36"/>
      <c r="W137" s="88"/>
    </row>
    <row r="138" spans="2:23" ht="18" customHeight="1" x14ac:dyDescent="0.3">
      <c r="B138" s="25" t="s">
        <v>290</v>
      </c>
      <c r="C138" s="25"/>
      <c r="D138" s="25"/>
      <c r="E138" s="25"/>
      <c r="F138" s="26" t="s">
        <v>67</v>
      </c>
      <c r="G138" s="27" t="s">
        <v>285</v>
      </c>
      <c r="H138" s="28">
        <v>6210</v>
      </c>
      <c r="I138" s="29" t="s">
        <v>55</v>
      </c>
      <c r="J138" s="30" t="s">
        <v>291</v>
      </c>
      <c r="K138" s="75">
        <v>31000</v>
      </c>
      <c r="L138" s="76">
        <v>0</v>
      </c>
      <c r="M138" s="77">
        <f t="shared" ref="M138:M152" si="10">SUM(K138:L138)</f>
        <v>31000</v>
      </c>
      <c r="N138" s="75"/>
      <c r="O138" s="76"/>
      <c r="P138" s="78">
        <f t="shared" ref="P138:P151" si="11">SUM(N138:O138)</f>
        <v>0</v>
      </c>
      <c r="Q138" s="79"/>
      <c r="R138" s="90"/>
      <c r="S138" s="91"/>
      <c r="T138" s="82" t="s">
        <v>102</v>
      </c>
      <c r="U138" s="91" t="s">
        <v>244</v>
      </c>
      <c r="V138" s="36" t="s">
        <v>65</v>
      </c>
      <c r="W138" s="88" t="s">
        <v>49</v>
      </c>
    </row>
    <row r="139" spans="2:23" ht="18" customHeight="1" x14ac:dyDescent="0.3">
      <c r="B139" s="25" t="s">
        <v>292</v>
      </c>
      <c r="C139" s="25"/>
      <c r="D139" s="25"/>
      <c r="E139" s="25"/>
      <c r="F139" s="26" t="s">
        <v>138</v>
      </c>
      <c r="G139" s="27" t="s">
        <v>285</v>
      </c>
      <c r="H139" s="28">
        <v>6410</v>
      </c>
      <c r="I139" s="29" t="s">
        <v>108</v>
      </c>
      <c r="J139" s="30" t="s">
        <v>293</v>
      </c>
      <c r="K139" s="75">
        <v>0</v>
      </c>
      <c r="L139" s="76">
        <v>20000</v>
      </c>
      <c r="M139" s="77">
        <f t="shared" si="10"/>
        <v>20000</v>
      </c>
      <c r="N139" s="75"/>
      <c r="O139" s="76"/>
      <c r="P139" s="78">
        <f t="shared" si="11"/>
        <v>0</v>
      </c>
      <c r="Q139" s="79"/>
      <c r="R139" s="90"/>
      <c r="S139" s="91"/>
      <c r="T139" s="82" t="s">
        <v>102</v>
      </c>
      <c r="U139" s="91" t="s">
        <v>103</v>
      </c>
      <c r="V139" s="36" t="s">
        <v>182</v>
      </c>
      <c r="W139" s="88" t="s">
        <v>49</v>
      </c>
    </row>
    <row r="140" spans="2:23" ht="18" customHeight="1" x14ac:dyDescent="0.3">
      <c r="B140" s="25" t="s">
        <v>294</v>
      </c>
      <c r="C140" s="25"/>
      <c r="D140" s="25"/>
      <c r="E140" s="25"/>
      <c r="F140" s="26"/>
      <c r="G140" s="27"/>
      <c r="H140" s="28"/>
      <c r="I140" s="29"/>
      <c r="J140" s="30"/>
      <c r="K140" s="75"/>
      <c r="L140" s="76"/>
      <c r="M140" s="77"/>
      <c r="N140" s="75">
        <v>650</v>
      </c>
      <c r="O140" s="76"/>
      <c r="P140" s="78">
        <f t="shared" si="11"/>
        <v>650</v>
      </c>
      <c r="Q140" s="79">
        <v>650</v>
      </c>
      <c r="R140" s="104">
        <v>46065</v>
      </c>
      <c r="S140" s="105">
        <v>46086</v>
      </c>
      <c r="T140" s="106"/>
      <c r="U140" s="105"/>
      <c r="V140" s="36"/>
      <c r="W140" s="88"/>
    </row>
    <row r="141" spans="2:23" ht="18" customHeight="1" x14ac:dyDescent="0.3">
      <c r="B141" s="25" t="s">
        <v>295</v>
      </c>
      <c r="C141" s="25"/>
      <c r="D141" s="25"/>
      <c r="E141" s="25"/>
      <c r="F141" s="26"/>
      <c r="G141" s="27"/>
      <c r="H141" s="28"/>
      <c r="I141" s="29"/>
      <c r="J141" s="30"/>
      <c r="K141" s="75"/>
      <c r="L141" s="76"/>
      <c r="M141" s="77"/>
      <c r="N141" s="75"/>
      <c r="O141" s="76">
        <v>2710</v>
      </c>
      <c r="P141" s="78">
        <f t="shared" si="11"/>
        <v>2710</v>
      </c>
      <c r="Q141" s="79">
        <v>2710</v>
      </c>
      <c r="R141" s="104">
        <v>46084</v>
      </c>
      <c r="S141" s="105">
        <v>46112</v>
      </c>
      <c r="T141" s="106"/>
      <c r="U141" s="105"/>
      <c r="V141" s="36"/>
      <c r="W141" s="88"/>
    </row>
    <row r="142" spans="2:23" ht="18" customHeight="1" x14ac:dyDescent="0.3">
      <c r="B142" s="25" t="s">
        <v>296</v>
      </c>
      <c r="C142" s="25"/>
      <c r="D142" s="25"/>
      <c r="E142" s="25"/>
      <c r="F142" s="26"/>
      <c r="G142" s="27"/>
      <c r="H142" s="28"/>
      <c r="I142" s="29"/>
      <c r="J142" s="30"/>
      <c r="K142" s="75"/>
      <c r="L142" s="76"/>
      <c r="M142" s="77"/>
      <c r="N142" s="75"/>
      <c r="O142" s="76">
        <v>2835</v>
      </c>
      <c r="P142" s="78">
        <f t="shared" si="11"/>
        <v>2835</v>
      </c>
      <c r="Q142" s="79">
        <v>2800</v>
      </c>
      <c r="R142" s="104">
        <v>46119</v>
      </c>
      <c r="S142" s="105">
        <v>46135</v>
      </c>
      <c r="T142" s="106"/>
      <c r="U142" s="105"/>
      <c r="V142" s="36"/>
      <c r="W142" s="88"/>
    </row>
    <row r="143" spans="2:23" ht="18" customHeight="1" x14ac:dyDescent="0.3">
      <c r="B143" s="3" t="s">
        <v>297</v>
      </c>
      <c r="C143" s="25"/>
      <c r="D143" s="25"/>
      <c r="F143" s="26" t="s">
        <v>100</v>
      </c>
      <c r="G143" s="27" t="s">
        <v>285</v>
      </c>
      <c r="H143" s="28">
        <v>6310</v>
      </c>
      <c r="I143" s="29" t="s">
        <v>108</v>
      </c>
      <c r="J143" s="30" t="s">
        <v>298</v>
      </c>
      <c r="K143" s="75">
        <v>0</v>
      </c>
      <c r="L143" s="76">
        <v>20000</v>
      </c>
      <c r="M143" s="77">
        <f t="shared" si="10"/>
        <v>20000</v>
      </c>
      <c r="N143" s="75"/>
      <c r="O143" s="76"/>
      <c r="P143" s="78">
        <f t="shared" si="11"/>
        <v>0</v>
      </c>
      <c r="Q143" s="79"/>
      <c r="R143" s="101"/>
      <c r="S143" s="102"/>
      <c r="T143" s="103" t="s">
        <v>102</v>
      </c>
      <c r="U143" s="102" t="s">
        <v>244</v>
      </c>
      <c r="V143" s="36" t="s">
        <v>182</v>
      </c>
      <c r="W143" s="88" t="s">
        <v>49</v>
      </c>
    </row>
    <row r="144" spans="2:23" ht="18" customHeight="1" x14ac:dyDescent="0.3">
      <c r="B144" s="3" t="s">
        <v>299</v>
      </c>
      <c r="C144" s="25"/>
      <c r="D144" s="25"/>
      <c r="F144" s="26" t="s">
        <v>74</v>
      </c>
      <c r="G144" s="27" t="s">
        <v>75</v>
      </c>
      <c r="H144" s="28"/>
      <c r="I144" s="29"/>
      <c r="J144" s="30" t="s">
        <v>300</v>
      </c>
      <c r="K144" s="75">
        <v>120000</v>
      </c>
      <c r="L144" s="76">
        <v>0</v>
      </c>
      <c r="M144" s="77">
        <f t="shared" si="10"/>
        <v>120000</v>
      </c>
      <c r="N144" s="75"/>
      <c r="O144" s="76"/>
      <c r="P144" s="78"/>
      <c r="Q144" s="79"/>
      <c r="R144" s="104"/>
      <c r="S144" s="105"/>
      <c r="T144" s="106"/>
      <c r="U144" s="105"/>
      <c r="V144" s="80"/>
      <c r="W144" s="88"/>
    </row>
    <row r="145" spans="2:23" ht="18" customHeight="1" x14ac:dyDescent="0.3">
      <c r="B145" s="3" t="s">
        <v>301</v>
      </c>
      <c r="C145" s="25"/>
      <c r="D145" s="25"/>
      <c r="F145" s="26" t="s">
        <v>74</v>
      </c>
      <c r="G145" s="27" t="s">
        <v>68</v>
      </c>
      <c r="H145" s="28"/>
      <c r="I145" s="29"/>
      <c r="J145" s="30" t="s">
        <v>302</v>
      </c>
      <c r="K145" s="75">
        <v>0</v>
      </c>
      <c r="L145" s="76">
        <v>20000</v>
      </c>
      <c r="M145" s="77">
        <f t="shared" si="10"/>
        <v>20000</v>
      </c>
      <c r="N145" s="75"/>
      <c r="O145" s="76"/>
      <c r="P145" s="78"/>
      <c r="Q145" s="79"/>
      <c r="R145" s="104"/>
      <c r="S145" s="105"/>
      <c r="T145" s="106"/>
      <c r="U145" s="105"/>
      <c r="V145" s="80"/>
      <c r="W145" s="88"/>
    </row>
    <row r="146" spans="2:23" ht="18" customHeight="1" x14ac:dyDescent="0.3">
      <c r="B146" s="3" t="s">
        <v>303</v>
      </c>
      <c r="C146" s="25"/>
      <c r="D146" s="25"/>
      <c r="F146" s="26" t="s">
        <v>74</v>
      </c>
      <c r="G146" s="27" t="s">
        <v>68</v>
      </c>
      <c r="H146" s="28"/>
      <c r="I146" s="29"/>
      <c r="J146" s="30" t="s">
        <v>304</v>
      </c>
      <c r="K146" s="75">
        <v>80000</v>
      </c>
      <c r="L146" s="76">
        <v>0</v>
      </c>
      <c r="M146" s="77">
        <f t="shared" si="10"/>
        <v>80000</v>
      </c>
      <c r="N146" s="75"/>
      <c r="O146" s="76"/>
      <c r="P146" s="78"/>
      <c r="Q146" s="79"/>
      <c r="R146" s="104"/>
      <c r="S146" s="105"/>
      <c r="T146" s="106"/>
      <c r="U146" s="105"/>
      <c r="V146" s="80"/>
      <c r="W146" s="88"/>
    </row>
    <row r="147" spans="2:23" ht="18" customHeight="1" x14ac:dyDescent="0.3">
      <c r="B147" s="118" t="s">
        <v>305</v>
      </c>
      <c r="C147" s="118"/>
      <c r="D147" s="119"/>
      <c r="E147" s="118"/>
      <c r="F147" s="120" t="s">
        <v>49</v>
      </c>
      <c r="G147" s="121" t="s">
        <v>49</v>
      </c>
      <c r="H147" s="122"/>
      <c r="I147" s="123"/>
      <c r="J147" s="124"/>
      <c r="K147" s="125">
        <v>0</v>
      </c>
      <c r="L147" s="126">
        <v>0</v>
      </c>
      <c r="M147" s="127">
        <f t="shared" si="10"/>
        <v>0</v>
      </c>
      <c r="N147" s="125"/>
      <c r="O147" s="126"/>
      <c r="P147" s="128">
        <f t="shared" si="11"/>
        <v>0</v>
      </c>
      <c r="Q147" s="129"/>
      <c r="R147" s="130"/>
      <c r="S147" s="131"/>
      <c r="T147" s="132" t="s">
        <v>49</v>
      </c>
      <c r="U147" s="131" t="s">
        <v>49</v>
      </c>
      <c r="V147" s="133" t="s">
        <v>40</v>
      </c>
      <c r="W147" s="134" t="s">
        <v>40</v>
      </c>
    </row>
    <row r="148" spans="2:23" ht="18" customHeight="1" x14ac:dyDescent="0.3">
      <c r="B148" s="25" t="s">
        <v>306</v>
      </c>
      <c r="C148" s="81"/>
      <c r="D148" s="25"/>
      <c r="E148" s="81"/>
      <c r="F148" s="26" t="s">
        <v>49</v>
      </c>
      <c r="G148" s="27" t="s">
        <v>49</v>
      </c>
      <c r="H148" s="28"/>
      <c r="I148" s="29"/>
      <c r="J148" s="30"/>
      <c r="K148" s="75">
        <v>0</v>
      </c>
      <c r="L148" s="76">
        <v>0</v>
      </c>
      <c r="M148" s="77">
        <f t="shared" si="10"/>
        <v>0</v>
      </c>
      <c r="N148" s="75"/>
      <c r="O148" s="76"/>
      <c r="P148" s="78">
        <f t="shared" si="11"/>
        <v>0</v>
      </c>
      <c r="Q148" s="79"/>
      <c r="R148" s="36"/>
      <c r="S148" s="37"/>
      <c r="T148" s="80" t="s">
        <v>49</v>
      </c>
      <c r="U148" s="37" t="s">
        <v>49</v>
      </c>
      <c r="V148" s="40" t="s">
        <v>40</v>
      </c>
      <c r="W148" s="41" t="s">
        <v>40</v>
      </c>
    </row>
    <row r="149" spans="2:23" ht="18" customHeight="1" x14ac:dyDescent="0.3">
      <c r="B149" s="25" t="s">
        <v>307</v>
      </c>
      <c r="C149" s="81"/>
      <c r="D149" s="25"/>
      <c r="E149" s="25"/>
      <c r="F149" s="92" t="s">
        <v>10</v>
      </c>
      <c r="G149" s="27" t="s">
        <v>79</v>
      </c>
      <c r="H149" s="28">
        <v>6061</v>
      </c>
      <c r="I149" s="29" t="s">
        <v>55</v>
      </c>
      <c r="J149" s="30" t="s">
        <v>308</v>
      </c>
      <c r="K149" s="75">
        <v>300000</v>
      </c>
      <c r="L149" s="93">
        <v>0</v>
      </c>
      <c r="M149" s="77">
        <f t="shared" si="10"/>
        <v>300000</v>
      </c>
      <c r="N149" s="75"/>
      <c r="O149" s="93"/>
      <c r="P149" s="78">
        <f t="shared" si="11"/>
        <v>0</v>
      </c>
      <c r="Q149" s="79"/>
      <c r="R149" s="94"/>
      <c r="S149" s="112"/>
      <c r="T149" s="96" t="s">
        <v>81</v>
      </c>
      <c r="U149" s="113" t="s">
        <v>42</v>
      </c>
      <c r="V149" s="80" t="s">
        <v>309</v>
      </c>
      <c r="W149" s="88" t="s">
        <v>49</v>
      </c>
    </row>
    <row r="150" spans="2:23" ht="18" customHeight="1" x14ac:dyDescent="0.3">
      <c r="B150" s="25" t="s">
        <v>310</v>
      </c>
      <c r="C150" s="81"/>
      <c r="D150" s="25"/>
      <c r="E150" s="25"/>
      <c r="F150" s="26" t="s">
        <v>10</v>
      </c>
      <c r="G150" s="27" t="s">
        <v>311</v>
      </c>
      <c r="H150" s="28">
        <v>6429</v>
      </c>
      <c r="I150" s="29" t="s">
        <v>55</v>
      </c>
      <c r="J150" s="30" t="s">
        <v>312</v>
      </c>
      <c r="K150" s="75">
        <v>800000</v>
      </c>
      <c r="L150" s="93">
        <v>0</v>
      </c>
      <c r="M150" s="77">
        <f t="shared" si="10"/>
        <v>800000</v>
      </c>
      <c r="N150" s="75">
        <v>795500</v>
      </c>
      <c r="O150" s="93"/>
      <c r="P150" s="78">
        <f t="shared" si="11"/>
        <v>795500</v>
      </c>
      <c r="Q150" s="79"/>
      <c r="R150" s="94">
        <v>46015</v>
      </c>
      <c r="S150" s="112"/>
      <c r="T150" s="96"/>
      <c r="U150" s="114"/>
      <c r="V150" s="80" t="s">
        <v>309</v>
      </c>
      <c r="W150" s="88"/>
    </row>
    <row r="151" spans="2:23" ht="18" customHeight="1" x14ac:dyDescent="0.3">
      <c r="B151" s="25" t="s">
        <v>313</v>
      </c>
      <c r="C151" s="81"/>
      <c r="D151" s="25"/>
      <c r="E151" s="25"/>
      <c r="F151" s="92" t="s">
        <v>10</v>
      </c>
      <c r="G151" s="27" t="s">
        <v>79</v>
      </c>
      <c r="H151" s="28">
        <v>6061</v>
      </c>
      <c r="I151" s="29" t="s">
        <v>55</v>
      </c>
      <c r="J151" s="30" t="s">
        <v>314</v>
      </c>
      <c r="K151" s="75">
        <v>200000</v>
      </c>
      <c r="L151" s="93">
        <v>0</v>
      </c>
      <c r="M151" s="77">
        <f t="shared" si="10"/>
        <v>200000</v>
      </c>
      <c r="N151" s="75"/>
      <c r="O151" s="93"/>
      <c r="P151" s="78">
        <f t="shared" si="11"/>
        <v>0</v>
      </c>
      <c r="Q151" s="79"/>
      <c r="R151" s="94"/>
      <c r="S151" s="112"/>
      <c r="T151" s="96" t="s">
        <v>81</v>
      </c>
      <c r="U151" s="113" t="s">
        <v>42</v>
      </c>
      <c r="V151" s="80" t="s">
        <v>309</v>
      </c>
      <c r="W151" s="88" t="s">
        <v>49</v>
      </c>
    </row>
    <row r="152" spans="2:23" ht="18" customHeight="1" x14ac:dyDescent="0.3">
      <c r="B152" s="25" t="s">
        <v>315</v>
      </c>
      <c r="C152" s="81"/>
      <c r="D152" s="25"/>
      <c r="E152" s="25"/>
      <c r="F152" s="26" t="s">
        <v>74</v>
      </c>
      <c r="G152" s="27" t="s">
        <v>75</v>
      </c>
      <c r="H152" s="28"/>
      <c r="I152" s="29"/>
      <c r="J152" s="30" t="s">
        <v>316</v>
      </c>
      <c r="K152" s="75">
        <v>220000</v>
      </c>
      <c r="L152" s="93">
        <v>0</v>
      </c>
      <c r="M152" s="77">
        <f t="shared" si="10"/>
        <v>220000</v>
      </c>
      <c r="N152" s="75"/>
      <c r="O152" s="98"/>
      <c r="P152" s="78"/>
      <c r="Q152" s="79"/>
      <c r="R152" s="94"/>
      <c r="S152" s="112"/>
      <c r="T152" s="96"/>
      <c r="U152" s="135"/>
      <c r="V152" s="80"/>
      <c r="W152" s="88"/>
    </row>
    <row r="153" spans="2:23" ht="18" customHeight="1" x14ac:dyDescent="0.3">
      <c r="B153" s="136" t="s">
        <v>317</v>
      </c>
      <c r="C153" s="136"/>
      <c r="D153" s="136"/>
      <c r="E153" s="136"/>
      <c r="F153" s="137" t="s">
        <v>40</v>
      </c>
      <c r="G153" s="138" t="s">
        <v>49</v>
      </c>
      <c r="H153" s="139"/>
      <c r="I153" s="140"/>
      <c r="J153" s="141"/>
      <c r="K153" s="142">
        <v>0</v>
      </c>
      <c r="L153" s="143">
        <v>0</v>
      </c>
      <c r="M153" s="144">
        <f>SUM(K153:L153)</f>
        <v>0</v>
      </c>
      <c r="N153" s="142"/>
      <c r="O153" s="143"/>
      <c r="P153" s="145">
        <f>SUM(N153:O153)</f>
        <v>0</v>
      </c>
      <c r="Q153" s="146"/>
      <c r="R153" s="147"/>
      <c r="S153" s="148"/>
      <c r="T153" s="149" t="s">
        <v>49</v>
      </c>
      <c r="U153" s="148" t="s">
        <v>49</v>
      </c>
      <c r="V153" s="150" t="s">
        <v>40</v>
      </c>
      <c r="W153" s="151" t="s">
        <v>40</v>
      </c>
    </row>
    <row r="154" spans="2:23" ht="18" customHeight="1" x14ac:dyDescent="0.3">
      <c r="B154" s="74" t="s">
        <v>318</v>
      </c>
      <c r="C154" s="74"/>
      <c r="D154" s="81"/>
      <c r="E154" s="74"/>
      <c r="F154" s="26" t="s">
        <v>49</v>
      </c>
      <c r="G154" s="27" t="s">
        <v>49</v>
      </c>
      <c r="H154" s="28"/>
      <c r="I154" s="29"/>
      <c r="J154" s="30"/>
      <c r="K154" s="75">
        <v>0</v>
      </c>
      <c r="L154" s="76">
        <v>0</v>
      </c>
      <c r="M154" s="77">
        <f t="shared" ref="M154:M202" si="12">SUM(K154:L154)</f>
        <v>0</v>
      </c>
      <c r="N154" s="75"/>
      <c r="O154" s="76"/>
      <c r="P154" s="78">
        <f t="shared" ref="P154:P208" si="13">SUM(N154:O154)</f>
        <v>0</v>
      </c>
      <c r="Q154" s="79"/>
      <c r="R154" s="36"/>
      <c r="S154" s="37"/>
      <c r="T154" s="80" t="s">
        <v>49</v>
      </c>
      <c r="U154" s="37" t="s">
        <v>49</v>
      </c>
      <c r="V154" s="82" t="s">
        <v>40</v>
      </c>
      <c r="W154" s="83" t="s">
        <v>40</v>
      </c>
    </row>
    <row r="155" spans="2:23" ht="18" customHeight="1" x14ac:dyDescent="0.3">
      <c r="B155" s="25" t="s">
        <v>319</v>
      </c>
      <c r="C155" s="25"/>
      <c r="D155" s="25"/>
      <c r="E155" s="81"/>
      <c r="F155" s="26" t="s">
        <v>49</v>
      </c>
      <c r="G155" s="27" t="s">
        <v>49</v>
      </c>
      <c r="H155" s="28"/>
      <c r="I155" s="29"/>
      <c r="J155" s="30"/>
      <c r="K155" s="75">
        <v>0</v>
      </c>
      <c r="L155" s="76">
        <v>0</v>
      </c>
      <c r="M155" s="77">
        <f t="shared" si="12"/>
        <v>0</v>
      </c>
      <c r="N155" s="75"/>
      <c r="O155" s="76"/>
      <c r="P155" s="78">
        <f t="shared" si="13"/>
        <v>0</v>
      </c>
      <c r="Q155" s="79"/>
      <c r="R155" s="36"/>
      <c r="S155" s="37"/>
      <c r="T155" s="80" t="s">
        <v>49</v>
      </c>
      <c r="U155" s="37" t="s">
        <v>49</v>
      </c>
      <c r="V155" s="82" t="s">
        <v>40</v>
      </c>
      <c r="W155" s="83" t="s">
        <v>40</v>
      </c>
    </row>
    <row r="156" spans="2:23" ht="18" customHeight="1" x14ac:dyDescent="0.3">
      <c r="B156" s="25" t="s">
        <v>320</v>
      </c>
      <c r="C156" s="25"/>
      <c r="D156" s="25"/>
      <c r="E156" s="25"/>
      <c r="F156" s="26" t="s">
        <v>53</v>
      </c>
      <c r="G156" s="84" t="s">
        <v>321</v>
      </c>
      <c r="H156" s="28">
        <v>6133</v>
      </c>
      <c r="I156" s="29" t="s">
        <v>108</v>
      </c>
      <c r="J156" s="30" t="s">
        <v>322</v>
      </c>
      <c r="K156" s="75">
        <v>0</v>
      </c>
      <c r="L156" s="76">
        <v>20000</v>
      </c>
      <c r="M156" s="77">
        <f t="shared" si="12"/>
        <v>20000</v>
      </c>
      <c r="N156" s="75"/>
      <c r="O156" s="76"/>
      <c r="P156" s="78">
        <f t="shared" si="13"/>
        <v>0</v>
      </c>
      <c r="Q156" s="79"/>
      <c r="R156" s="90"/>
      <c r="S156" s="91"/>
      <c r="T156" s="82" t="s">
        <v>102</v>
      </c>
      <c r="U156" s="91" t="s">
        <v>64</v>
      </c>
      <c r="V156" s="36" t="s">
        <v>323</v>
      </c>
      <c r="W156" s="88" t="s">
        <v>49</v>
      </c>
    </row>
    <row r="157" spans="2:23" ht="18" customHeight="1" x14ac:dyDescent="0.3">
      <c r="B157" s="25" t="s">
        <v>324</v>
      </c>
      <c r="C157" s="25"/>
      <c r="D157" s="25"/>
      <c r="E157" s="25"/>
      <c r="F157" s="26"/>
      <c r="G157" s="84"/>
      <c r="H157" s="28"/>
      <c r="I157" s="29"/>
      <c r="J157" s="30"/>
      <c r="K157" s="75"/>
      <c r="L157" s="76"/>
      <c r="M157" s="77"/>
      <c r="N157" s="75"/>
      <c r="O157" s="76">
        <v>6100</v>
      </c>
      <c r="P157" s="78">
        <f t="shared" si="13"/>
        <v>6100</v>
      </c>
      <c r="Q157" s="79"/>
      <c r="R157" s="90">
        <v>46066</v>
      </c>
      <c r="S157" s="91"/>
      <c r="T157" s="82"/>
      <c r="U157" s="91"/>
      <c r="V157" s="36"/>
      <c r="W157" s="88"/>
    </row>
    <row r="158" spans="2:23" ht="18" customHeight="1" x14ac:dyDescent="0.3">
      <c r="B158" s="25" t="s">
        <v>325</v>
      </c>
      <c r="C158" s="25"/>
      <c r="D158" s="25"/>
      <c r="E158" s="25"/>
      <c r="F158" s="26" t="s">
        <v>138</v>
      </c>
      <c r="G158" s="27" t="s">
        <v>68</v>
      </c>
      <c r="H158" s="28">
        <v>6429</v>
      </c>
      <c r="I158" s="29" t="s">
        <v>108</v>
      </c>
      <c r="J158" s="30" t="s">
        <v>326</v>
      </c>
      <c r="K158" s="75">
        <v>0</v>
      </c>
      <c r="L158" s="76">
        <v>5000</v>
      </c>
      <c r="M158" s="77">
        <f t="shared" si="12"/>
        <v>5000</v>
      </c>
      <c r="N158" s="75"/>
      <c r="O158" s="76"/>
      <c r="P158" s="78">
        <f t="shared" si="13"/>
        <v>0</v>
      </c>
      <c r="Q158" s="79"/>
      <c r="R158" s="90"/>
      <c r="S158" s="91"/>
      <c r="T158" s="82" t="s">
        <v>327</v>
      </c>
      <c r="U158" s="91" t="s">
        <v>328</v>
      </c>
      <c r="V158" s="36" t="s">
        <v>323</v>
      </c>
      <c r="W158" s="88" t="s">
        <v>40</v>
      </c>
    </row>
    <row r="159" spans="2:23" ht="18" customHeight="1" x14ac:dyDescent="0.3">
      <c r="B159" s="25" t="s">
        <v>329</v>
      </c>
      <c r="C159" s="25"/>
      <c r="D159" s="25"/>
      <c r="E159" s="25"/>
      <c r="F159" s="26" t="s">
        <v>100</v>
      </c>
      <c r="G159" s="27" t="s">
        <v>68</v>
      </c>
      <c r="H159" s="28">
        <v>6329</v>
      </c>
      <c r="I159" s="29" t="s">
        <v>108</v>
      </c>
      <c r="J159" s="30" t="s">
        <v>330</v>
      </c>
      <c r="K159" s="75">
        <v>0</v>
      </c>
      <c r="L159" s="76">
        <v>20000</v>
      </c>
      <c r="M159" s="77">
        <f t="shared" si="12"/>
        <v>20000</v>
      </c>
      <c r="N159" s="75"/>
      <c r="O159" s="76"/>
      <c r="P159" s="78">
        <f t="shared" si="13"/>
        <v>0</v>
      </c>
      <c r="Q159" s="79"/>
      <c r="R159" s="101"/>
      <c r="S159" s="102"/>
      <c r="T159" s="103" t="s">
        <v>102</v>
      </c>
      <c r="U159" s="102" t="s">
        <v>103</v>
      </c>
      <c r="V159" s="36" t="s">
        <v>323</v>
      </c>
      <c r="W159" s="88" t="s">
        <v>40</v>
      </c>
    </row>
    <row r="160" spans="2:23" ht="18" customHeight="1" x14ac:dyDescent="0.3">
      <c r="B160" s="25" t="s">
        <v>331</v>
      </c>
      <c r="C160" s="25"/>
      <c r="D160" s="25"/>
      <c r="E160" s="25"/>
      <c r="F160" s="26" t="s">
        <v>40</v>
      </c>
      <c r="G160" s="27" t="s">
        <v>49</v>
      </c>
      <c r="H160" s="28"/>
      <c r="I160" s="29"/>
      <c r="J160" s="30"/>
      <c r="K160" s="75">
        <v>0</v>
      </c>
      <c r="L160" s="76">
        <v>0</v>
      </c>
      <c r="M160" s="77">
        <f t="shared" si="12"/>
        <v>0</v>
      </c>
      <c r="N160" s="75"/>
      <c r="O160" s="76"/>
      <c r="P160" s="78">
        <f t="shared" si="13"/>
        <v>0</v>
      </c>
      <c r="Q160" s="79"/>
      <c r="R160" s="36"/>
      <c r="S160" s="37"/>
      <c r="T160" s="80" t="s">
        <v>49</v>
      </c>
      <c r="U160" s="37" t="s">
        <v>49</v>
      </c>
      <c r="V160" s="82" t="s">
        <v>40</v>
      </c>
      <c r="W160" s="88" t="s">
        <v>40</v>
      </c>
    </row>
    <row r="161" spans="2:24" ht="18" customHeight="1" x14ac:dyDescent="0.3">
      <c r="B161" s="25" t="s">
        <v>332</v>
      </c>
      <c r="C161" s="25"/>
      <c r="D161" s="25"/>
      <c r="E161" s="25"/>
      <c r="F161" s="92" t="s">
        <v>10</v>
      </c>
      <c r="G161" s="27" t="s">
        <v>79</v>
      </c>
      <c r="H161" s="28">
        <v>6061</v>
      </c>
      <c r="I161" s="29" t="s">
        <v>55</v>
      </c>
      <c r="J161" s="30" t="s">
        <v>333</v>
      </c>
      <c r="K161" s="75">
        <v>350000</v>
      </c>
      <c r="L161" s="93">
        <v>50000</v>
      </c>
      <c r="M161" s="77">
        <f t="shared" si="12"/>
        <v>400000</v>
      </c>
      <c r="N161" s="75"/>
      <c r="O161" s="93"/>
      <c r="P161" s="78">
        <f t="shared" si="13"/>
        <v>0</v>
      </c>
      <c r="Q161" s="79"/>
      <c r="R161" s="94"/>
      <c r="S161" s="86"/>
      <c r="T161" s="96" t="s">
        <v>81</v>
      </c>
      <c r="U161" s="152" t="s">
        <v>42</v>
      </c>
      <c r="V161" s="80" t="s">
        <v>334</v>
      </c>
      <c r="W161" s="88" t="s">
        <v>40</v>
      </c>
    </row>
    <row r="162" spans="2:24" ht="18" customHeight="1" x14ac:dyDescent="0.3">
      <c r="B162" s="25" t="s">
        <v>335</v>
      </c>
      <c r="C162" s="25"/>
      <c r="D162" s="25"/>
      <c r="E162" s="25"/>
      <c r="F162" s="26" t="s">
        <v>184</v>
      </c>
      <c r="G162" s="27" t="s">
        <v>75</v>
      </c>
      <c r="H162" s="28"/>
      <c r="I162" s="29"/>
      <c r="J162" s="30" t="s">
        <v>336</v>
      </c>
      <c r="K162" s="75"/>
      <c r="L162" s="98"/>
      <c r="M162" s="77"/>
      <c r="N162" s="75"/>
      <c r="O162" s="98">
        <v>40000</v>
      </c>
      <c r="P162" s="78">
        <f t="shared" si="13"/>
        <v>40000</v>
      </c>
      <c r="Q162" s="79"/>
      <c r="R162" s="94">
        <v>46085</v>
      </c>
      <c r="S162" s="86"/>
      <c r="T162" s="96"/>
      <c r="U162" s="153"/>
      <c r="V162" s="80"/>
      <c r="W162" s="88"/>
    </row>
    <row r="163" spans="2:24" ht="18" customHeight="1" x14ac:dyDescent="0.3">
      <c r="B163" s="25" t="s">
        <v>337</v>
      </c>
      <c r="C163" s="25"/>
      <c r="D163" s="25"/>
      <c r="E163" s="25"/>
      <c r="F163" s="26" t="s">
        <v>53</v>
      </c>
      <c r="G163" s="27" t="s">
        <v>338</v>
      </c>
      <c r="H163" s="28">
        <v>6129</v>
      </c>
      <c r="I163" s="29" t="s">
        <v>55</v>
      </c>
      <c r="J163" s="30" t="s">
        <v>339</v>
      </c>
      <c r="K163" s="75">
        <v>200000</v>
      </c>
      <c r="L163" s="76">
        <v>0</v>
      </c>
      <c r="M163" s="77">
        <f t="shared" si="12"/>
        <v>200000</v>
      </c>
      <c r="N163" s="75">
        <v>200000</v>
      </c>
      <c r="O163" s="76"/>
      <c r="P163" s="78">
        <f t="shared" si="13"/>
        <v>200000</v>
      </c>
      <c r="Q163" s="79"/>
      <c r="R163" s="90">
        <v>45915</v>
      </c>
      <c r="S163" s="91"/>
      <c r="T163" s="82" t="s">
        <v>57</v>
      </c>
      <c r="U163" s="91" t="s">
        <v>134</v>
      </c>
      <c r="V163" s="36" t="s">
        <v>59</v>
      </c>
      <c r="W163" s="88" t="s">
        <v>40</v>
      </c>
      <c r="X163" s="3" t="s">
        <v>60</v>
      </c>
    </row>
    <row r="164" spans="2:24" ht="18" customHeight="1" x14ac:dyDescent="0.3">
      <c r="B164" s="3" t="s">
        <v>340</v>
      </c>
      <c r="C164" s="25"/>
      <c r="D164" s="25"/>
      <c r="F164" s="26" t="s">
        <v>100</v>
      </c>
      <c r="G164" s="27" t="s">
        <v>311</v>
      </c>
      <c r="H164" s="28">
        <v>6329</v>
      </c>
      <c r="I164" s="29" t="s">
        <v>55</v>
      </c>
      <c r="J164" s="30" t="s">
        <v>341</v>
      </c>
      <c r="K164" s="75">
        <v>120000</v>
      </c>
      <c r="L164" s="76">
        <v>0</v>
      </c>
      <c r="M164" s="77">
        <f t="shared" si="12"/>
        <v>120000</v>
      </c>
      <c r="N164" s="75">
        <v>120000</v>
      </c>
      <c r="O164" s="76"/>
      <c r="P164" s="78">
        <f t="shared" si="13"/>
        <v>120000</v>
      </c>
      <c r="Q164" s="79"/>
      <c r="R164" s="101">
        <v>46035</v>
      </c>
      <c r="S164" s="102"/>
      <c r="T164" s="103" t="s">
        <v>342</v>
      </c>
      <c r="U164" s="102" t="s">
        <v>343</v>
      </c>
      <c r="V164" s="36" t="s">
        <v>182</v>
      </c>
      <c r="W164" s="88" t="s">
        <v>40</v>
      </c>
    </row>
    <row r="165" spans="2:24" ht="18" customHeight="1" x14ac:dyDescent="0.3">
      <c r="B165" s="3" t="s">
        <v>344</v>
      </c>
      <c r="C165" s="25"/>
      <c r="D165" s="25"/>
      <c r="F165" s="26" t="s">
        <v>74</v>
      </c>
      <c r="G165" s="27" t="s">
        <v>75</v>
      </c>
      <c r="H165" s="28"/>
      <c r="I165" s="29"/>
      <c r="J165" s="30" t="s">
        <v>345</v>
      </c>
      <c r="K165" s="75"/>
      <c r="L165" s="76">
        <v>20000</v>
      </c>
      <c r="M165" s="77">
        <f t="shared" si="12"/>
        <v>20000</v>
      </c>
      <c r="N165" s="75"/>
      <c r="O165" s="76"/>
      <c r="P165" s="78"/>
      <c r="Q165" s="79"/>
      <c r="R165" s="104"/>
      <c r="S165" s="105"/>
      <c r="T165" s="106"/>
      <c r="U165" s="105"/>
      <c r="V165" s="80"/>
      <c r="W165" s="88"/>
    </row>
    <row r="166" spans="2:24" ht="18" customHeight="1" x14ac:dyDescent="0.3">
      <c r="B166" s="3" t="s">
        <v>346</v>
      </c>
      <c r="C166" s="25"/>
      <c r="D166" s="25"/>
      <c r="F166" s="26" t="s">
        <v>74</v>
      </c>
      <c r="G166" s="27" t="s">
        <v>75</v>
      </c>
      <c r="H166" s="28"/>
      <c r="I166" s="29"/>
      <c r="J166" s="30" t="s">
        <v>347</v>
      </c>
      <c r="K166" s="75">
        <v>50000</v>
      </c>
      <c r="L166" s="76"/>
      <c r="M166" s="77">
        <f t="shared" si="12"/>
        <v>50000</v>
      </c>
      <c r="N166" s="75"/>
      <c r="O166" s="76"/>
      <c r="P166" s="78"/>
      <c r="Q166" s="79"/>
      <c r="R166" s="104"/>
      <c r="S166" s="105"/>
      <c r="T166" s="106"/>
      <c r="U166" s="105"/>
      <c r="V166" s="80"/>
      <c r="W166" s="88"/>
    </row>
    <row r="167" spans="2:24" ht="18" customHeight="1" x14ac:dyDescent="0.3">
      <c r="B167" s="25" t="s">
        <v>348</v>
      </c>
      <c r="C167" s="25"/>
      <c r="D167" s="25"/>
      <c r="E167" s="25"/>
      <c r="F167" s="26" t="s">
        <v>40</v>
      </c>
      <c r="G167" s="27" t="s">
        <v>49</v>
      </c>
      <c r="H167" s="28"/>
      <c r="I167" s="29"/>
      <c r="J167" s="30"/>
      <c r="K167" s="75">
        <v>0</v>
      </c>
      <c r="L167" s="76">
        <v>0</v>
      </c>
      <c r="M167" s="77">
        <f t="shared" si="12"/>
        <v>0</v>
      </c>
      <c r="N167" s="75"/>
      <c r="O167" s="76"/>
      <c r="P167" s="78">
        <f t="shared" si="13"/>
        <v>0</v>
      </c>
      <c r="Q167" s="79"/>
      <c r="R167" s="36"/>
      <c r="S167" s="37"/>
      <c r="T167" s="80" t="s">
        <v>49</v>
      </c>
      <c r="U167" s="37" t="s">
        <v>49</v>
      </c>
      <c r="V167" s="82" t="s">
        <v>40</v>
      </c>
      <c r="W167" s="88" t="s">
        <v>40</v>
      </c>
    </row>
    <row r="168" spans="2:24" ht="18" customHeight="1" x14ac:dyDescent="0.3">
      <c r="B168" s="25" t="s">
        <v>349</v>
      </c>
      <c r="C168" s="25"/>
      <c r="D168" s="25"/>
      <c r="E168" s="25"/>
      <c r="F168" s="92" t="s">
        <v>10</v>
      </c>
      <c r="G168" s="27" t="s">
        <v>79</v>
      </c>
      <c r="H168" s="28">
        <v>6061</v>
      </c>
      <c r="I168" s="29" t="s">
        <v>55</v>
      </c>
      <c r="J168" s="30" t="s">
        <v>350</v>
      </c>
      <c r="K168" s="75">
        <v>550000</v>
      </c>
      <c r="L168" s="93">
        <v>50000</v>
      </c>
      <c r="M168" s="77">
        <f t="shared" si="12"/>
        <v>600000</v>
      </c>
      <c r="N168" s="75"/>
      <c r="O168" s="93"/>
      <c r="P168" s="78">
        <f t="shared" si="13"/>
        <v>0</v>
      </c>
      <c r="Q168" s="79"/>
      <c r="R168" s="94"/>
      <c r="S168" s="86"/>
      <c r="T168" s="96" t="s">
        <v>81</v>
      </c>
      <c r="U168" s="152" t="s">
        <v>42</v>
      </c>
      <c r="V168" s="80" t="s">
        <v>334</v>
      </c>
      <c r="W168" s="88" t="s">
        <v>40</v>
      </c>
    </row>
    <row r="169" spans="2:24" ht="18" customHeight="1" x14ac:dyDescent="0.3">
      <c r="B169" s="25" t="s">
        <v>351</v>
      </c>
      <c r="C169" s="25"/>
      <c r="D169" s="25"/>
      <c r="E169" s="25"/>
      <c r="F169" s="26" t="s">
        <v>94</v>
      </c>
      <c r="G169" s="27" t="s">
        <v>352</v>
      </c>
      <c r="H169" s="28"/>
      <c r="I169" s="29"/>
      <c r="J169" s="30" t="s">
        <v>353</v>
      </c>
      <c r="K169" s="75"/>
      <c r="L169" s="98"/>
      <c r="M169" s="77"/>
      <c r="N169" s="75">
        <v>28460</v>
      </c>
      <c r="O169" s="98"/>
      <c r="P169" s="78">
        <f t="shared" si="13"/>
        <v>28460</v>
      </c>
      <c r="Q169" s="79">
        <v>27900</v>
      </c>
      <c r="R169" s="94">
        <v>46042</v>
      </c>
      <c r="S169" s="86">
        <v>46080</v>
      </c>
      <c r="T169" s="96"/>
      <c r="U169" s="153"/>
      <c r="V169" s="80"/>
      <c r="W169" s="88"/>
    </row>
    <row r="170" spans="2:24" ht="18" customHeight="1" x14ac:dyDescent="0.3">
      <c r="B170" s="25" t="s">
        <v>354</v>
      </c>
      <c r="C170" s="25"/>
      <c r="D170" s="25"/>
      <c r="E170" s="25"/>
      <c r="F170" s="154" t="s">
        <v>191</v>
      </c>
      <c r="G170" s="27" t="s">
        <v>192</v>
      </c>
      <c r="H170" s="28"/>
      <c r="I170" s="29"/>
      <c r="J170" s="30" t="s">
        <v>355</v>
      </c>
      <c r="K170" s="75"/>
      <c r="L170" s="98"/>
      <c r="M170" s="77"/>
      <c r="N170" s="75"/>
      <c r="O170" s="98">
        <v>15330</v>
      </c>
      <c r="P170" s="78">
        <f t="shared" si="13"/>
        <v>15330</v>
      </c>
      <c r="Q170" s="79"/>
      <c r="R170" s="94">
        <v>46092</v>
      </c>
      <c r="S170" s="86"/>
      <c r="T170" s="96"/>
      <c r="U170" s="153"/>
      <c r="V170" s="80"/>
      <c r="W170" s="88"/>
    </row>
    <row r="171" spans="2:24" s="306" customFormat="1" ht="18" customHeight="1" x14ac:dyDescent="0.3">
      <c r="B171" s="307" t="s">
        <v>356</v>
      </c>
      <c r="C171" s="307"/>
      <c r="D171" s="307"/>
      <c r="E171" s="307"/>
      <c r="F171" s="92" t="s">
        <v>94</v>
      </c>
      <c r="G171" s="308" t="s">
        <v>75</v>
      </c>
      <c r="H171" s="309"/>
      <c r="I171" s="310"/>
      <c r="J171" s="311" t="s">
        <v>357</v>
      </c>
      <c r="K171" s="312"/>
      <c r="L171" s="327"/>
      <c r="M171" s="314"/>
      <c r="N171" s="312"/>
      <c r="O171" s="327">
        <v>41600</v>
      </c>
      <c r="P171" s="315">
        <f t="shared" si="13"/>
        <v>41600</v>
      </c>
      <c r="Q171" s="316"/>
      <c r="R171" s="328">
        <v>46108</v>
      </c>
      <c r="S171" s="350"/>
      <c r="T171" s="330"/>
      <c r="U171" s="351"/>
      <c r="V171" s="320"/>
      <c r="W171" s="321"/>
    </row>
    <row r="172" spans="2:24" ht="18" customHeight="1" x14ac:dyDescent="0.3">
      <c r="B172" s="25" t="s">
        <v>358</v>
      </c>
      <c r="C172" s="25"/>
      <c r="D172" s="25"/>
      <c r="E172" s="25"/>
      <c r="F172" s="26" t="s">
        <v>88</v>
      </c>
      <c r="G172" s="27" t="s">
        <v>75</v>
      </c>
      <c r="H172" s="28"/>
      <c r="I172" s="29"/>
      <c r="J172" s="30" t="s">
        <v>359</v>
      </c>
      <c r="K172" s="75"/>
      <c r="L172" s="98"/>
      <c r="M172" s="77"/>
      <c r="N172" s="75"/>
      <c r="O172" s="98">
        <v>10000</v>
      </c>
      <c r="P172" s="78">
        <f t="shared" si="13"/>
        <v>10000</v>
      </c>
      <c r="Q172" s="79"/>
      <c r="R172" s="94">
        <v>46112</v>
      </c>
      <c r="S172" s="86"/>
      <c r="T172" s="96"/>
      <c r="U172" s="153"/>
      <c r="V172" s="80"/>
      <c r="W172" s="88"/>
    </row>
    <row r="173" spans="2:24" ht="18" customHeight="1" x14ac:dyDescent="0.3">
      <c r="B173" s="25" t="s">
        <v>360</v>
      </c>
      <c r="C173" s="25"/>
      <c r="D173" s="25"/>
      <c r="E173" s="25"/>
      <c r="F173" s="26" t="s">
        <v>361</v>
      </c>
      <c r="G173" s="27" t="s">
        <v>85</v>
      </c>
      <c r="H173" s="28"/>
      <c r="I173" s="29"/>
      <c r="J173" s="30" t="s">
        <v>362</v>
      </c>
      <c r="K173" s="75"/>
      <c r="L173" s="98"/>
      <c r="M173" s="77"/>
      <c r="N173" s="75"/>
      <c r="O173" s="98">
        <v>30000</v>
      </c>
      <c r="P173" s="78">
        <f t="shared" si="13"/>
        <v>30000</v>
      </c>
      <c r="Q173" s="79"/>
      <c r="R173" s="94">
        <v>46125</v>
      </c>
      <c r="S173" s="86"/>
      <c r="T173" s="96"/>
      <c r="U173" s="153"/>
      <c r="V173" s="80"/>
      <c r="W173" s="88"/>
    </row>
    <row r="174" spans="2:24" ht="18" customHeight="1" x14ac:dyDescent="0.3">
      <c r="B174" s="25" t="s">
        <v>363</v>
      </c>
      <c r="C174" s="25"/>
      <c r="D174" s="25"/>
      <c r="E174" s="25"/>
      <c r="F174" s="26" t="s">
        <v>53</v>
      </c>
      <c r="G174" s="84" t="s">
        <v>121</v>
      </c>
      <c r="H174" s="28">
        <v>6121</v>
      </c>
      <c r="I174" s="29" t="s">
        <v>55</v>
      </c>
      <c r="J174" s="30" t="s">
        <v>364</v>
      </c>
      <c r="K174" s="75">
        <v>76000</v>
      </c>
      <c r="L174" s="76">
        <v>0</v>
      </c>
      <c r="M174" s="77">
        <f t="shared" si="12"/>
        <v>76000</v>
      </c>
      <c r="N174" s="75">
        <v>76000</v>
      </c>
      <c r="O174" s="76"/>
      <c r="P174" s="78">
        <f t="shared" si="13"/>
        <v>76000</v>
      </c>
      <c r="Q174" s="79">
        <v>74261</v>
      </c>
      <c r="R174" s="90">
        <v>45915</v>
      </c>
      <c r="S174" s="91">
        <v>46141</v>
      </c>
      <c r="T174" s="82" t="s">
        <v>63</v>
      </c>
      <c r="U174" s="91" t="s">
        <v>134</v>
      </c>
      <c r="V174" s="36" t="s">
        <v>365</v>
      </c>
      <c r="W174" s="88" t="s">
        <v>40</v>
      </c>
      <c r="X174" s="3" t="s">
        <v>60</v>
      </c>
    </row>
    <row r="175" spans="2:24" ht="18" customHeight="1" x14ac:dyDescent="0.3">
      <c r="B175" s="25" t="s">
        <v>366</v>
      </c>
      <c r="C175" s="25"/>
      <c r="D175" s="25"/>
      <c r="E175" s="25"/>
      <c r="F175" s="26" t="s">
        <v>53</v>
      </c>
      <c r="G175" s="84" t="s">
        <v>367</v>
      </c>
      <c r="H175" s="28">
        <v>6133</v>
      </c>
      <c r="I175" s="29" t="s">
        <v>55</v>
      </c>
      <c r="J175" s="30" t="s">
        <v>368</v>
      </c>
      <c r="K175" s="75">
        <v>50000</v>
      </c>
      <c r="L175" s="76">
        <v>20000</v>
      </c>
      <c r="M175" s="77">
        <f t="shared" si="12"/>
        <v>70000</v>
      </c>
      <c r="N175" s="75"/>
      <c r="O175" s="76"/>
      <c r="P175" s="78">
        <f t="shared" si="13"/>
        <v>0</v>
      </c>
      <c r="Q175" s="79"/>
      <c r="R175" s="90"/>
      <c r="S175" s="91"/>
      <c r="T175" s="82" t="s">
        <v>102</v>
      </c>
      <c r="U175" s="91" t="s">
        <v>64</v>
      </c>
      <c r="V175" s="36" t="s">
        <v>365</v>
      </c>
      <c r="W175" s="88" t="s">
        <v>40</v>
      </c>
    </row>
    <row r="176" spans="2:24" ht="18" customHeight="1" x14ac:dyDescent="0.3">
      <c r="B176" s="25" t="s">
        <v>369</v>
      </c>
      <c r="C176" s="25"/>
      <c r="D176" s="25"/>
      <c r="E176" s="25"/>
      <c r="F176" s="26"/>
      <c r="G176" s="84"/>
      <c r="H176" s="28"/>
      <c r="I176" s="29"/>
      <c r="J176" s="30"/>
      <c r="K176" s="75"/>
      <c r="L176" s="76"/>
      <c r="M176" s="77"/>
      <c r="N176" s="75"/>
      <c r="O176" s="76">
        <v>19100</v>
      </c>
      <c r="P176" s="78">
        <f t="shared" si="13"/>
        <v>19100</v>
      </c>
      <c r="Q176" s="79"/>
      <c r="R176" s="90">
        <v>46136</v>
      </c>
      <c r="S176" s="91"/>
      <c r="T176" s="82"/>
      <c r="U176" s="91"/>
      <c r="V176" s="36"/>
      <c r="W176" s="88"/>
    </row>
    <row r="177" spans="2:24" ht="18" customHeight="1" x14ac:dyDescent="0.3">
      <c r="B177" s="25" t="s">
        <v>370</v>
      </c>
      <c r="C177" s="25"/>
      <c r="D177" s="25"/>
      <c r="E177" s="25"/>
      <c r="F177" s="26" t="s">
        <v>53</v>
      </c>
      <c r="G177" s="84" t="s">
        <v>367</v>
      </c>
      <c r="H177" s="28">
        <v>6133</v>
      </c>
      <c r="I177" s="29" t="s">
        <v>55</v>
      </c>
      <c r="J177" s="30" t="s">
        <v>371</v>
      </c>
      <c r="K177" s="75">
        <v>150000</v>
      </c>
      <c r="L177" s="76">
        <v>0</v>
      </c>
      <c r="M177" s="77">
        <f t="shared" si="12"/>
        <v>150000</v>
      </c>
      <c r="N177" s="75">
        <v>150000</v>
      </c>
      <c r="O177" s="76"/>
      <c r="P177" s="78">
        <f t="shared" si="13"/>
        <v>150000</v>
      </c>
      <c r="Q177" s="79">
        <v>145500</v>
      </c>
      <c r="R177" s="90">
        <v>45926</v>
      </c>
      <c r="S177" s="91">
        <v>46065</v>
      </c>
      <c r="T177" s="82" t="s">
        <v>158</v>
      </c>
      <c r="U177" s="91" t="s">
        <v>372</v>
      </c>
      <c r="V177" s="36" t="s">
        <v>365</v>
      </c>
      <c r="W177" s="88" t="s">
        <v>40</v>
      </c>
      <c r="X177" s="3" t="s">
        <v>60</v>
      </c>
    </row>
    <row r="178" spans="2:24" ht="18" customHeight="1" x14ac:dyDescent="0.3">
      <c r="B178" s="25" t="s">
        <v>373</v>
      </c>
      <c r="C178" s="25"/>
      <c r="D178" s="25"/>
      <c r="E178" s="25"/>
      <c r="F178" s="26" t="s">
        <v>53</v>
      </c>
      <c r="G178" s="84" t="s">
        <v>374</v>
      </c>
      <c r="H178" s="28">
        <v>6123</v>
      </c>
      <c r="I178" s="29" t="s">
        <v>55</v>
      </c>
      <c r="J178" s="30" t="s">
        <v>375</v>
      </c>
      <c r="K178" s="75">
        <v>49500</v>
      </c>
      <c r="L178" s="76">
        <v>0</v>
      </c>
      <c r="M178" s="77">
        <f t="shared" si="12"/>
        <v>49500</v>
      </c>
      <c r="N178" s="75">
        <v>49500</v>
      </c>
      <c r="O178" s="76"/>
      <c r="P178" s="78">
        <f t="shared" si="13"/>
        <v>49500</v>
      </c>
      <c r="Q178" s="79">
        <v>49500</v>
      </c>
      <c r="R178" s="90">
        <v>46041</v>
      </c>
      <c r="S178" s="91">
        <v>46133</v>
      </c>
      <c r="T178" s="82" t="s">
        <v>102</v>
      </c>
      <c r="U178" s="91" t="s">
        <v>64</v>
      </c>
      <c r="V178" s="36" t="s">
        <v>365</v>
      </c>
      <c r="W178" s="88" t="s">
        <v>40</v>
      </c>
    </row>
    <row r="179" spans="2:24" ht="18" customHeight="1" x14ac:dyDescent="0.3">
      <c r="B179" s="25" t="s">
        <v>376</v>
      </c>
      <c r="C179" s="25"/>
      <c r="D179" s="25"/>
      <c r="E179" s="25"/>
      <c r="F179" s="26" t="s">
        <v>53</v>
      </c>
      <c r="G179" s="84" t="s">
        <v>377</v>
      </c>
      <c r="H179" s="28">
        <v>6131</v>
      </c>
      <c r="I179" s="29" t="s">
        <v>108</v>
      </c>
      <c r="J179" s="30" t="s">
        <v>378</v>
      </c>
      <c r="K179" s="75">
        <v>0</v>
      </c>
      <c r="L179" s="76">
        <v>270000</v>
      </c>
      <c r="M179" s="77">
        <f t="shared" si="12"/>
        <v>270000</v>
      </c>
      <c r="N179" s="75"/>
      <c r="O179" s="76"/>
      <c r="P179" s="78">
        <f t="shared" si="13"/>
        <v>0</v>
      </c>
      <c r="Q179" s="79"/>
      <c r="R179" s="90"/>
      <c r="S179" s="91"/>
      <c r="T179" s="82" t="s">
        <v>63</v>
      </c>
      <c r="U179" s="91" t="s">
        <v>64</v>
      </c>
      <c r="V179" s="36" t="s">
        <v>65</v>
      </c>
      <c r="W179" s="88" t="s">
        <v>40</v>
      </c>
    </row>
    <row r="180" spans="2:24" ht="18" customHeight="1" x14ac:dyDescent="0.3">
      <c r="B180" s="25" t="s">
        <v>379</v>
      </c>
      <c r="C180" s="25"/>
      <c r="D180" s="25"/>
      <c r="E180" s="25"/>
      <c r="F180" s="26" t="s">
        <v>12</v>
      </c>
      <c r="G180" s="84" t="s">
        <v>68</v>
      </c>
      <c r="H180" s="28">
        <v>6229</v>
      </c>
      <c r="I180" s="29">
        <v>955701</v>
      </c>
      <c r="J180" s="30" t="s">
        <v>380</v>
      </c>
      <c r="K180" s="75">
        <v>30000</v>
      </c>
      <c r="L180" s="76">
        <v>30000</v>
      </c>
      <c r="M180" s="77">
        <f t="shared" si="12"/>
        <v>60000</v>
      </c>
      <c r="N180" s="75"/>
      <c r="O180" s="76"/>
      <c r="P180" s="78">
        <f t="shared" si="13"/>
        <v>0</v>
      </c>
      <c r="Q180" s="79"/>
      <c r="R180" s="90"/>
      <c r="S180" s="91"/>
      <c r="T180" s="82" t="s">
        <v>63</v>
      </c>
      <c r="U180" s="91" t="s">
        <v>64</v>
      </c>
      <c r="V180" s="36" t="s">
        <v>365</v>
      </c>
      <c r="W180" s="88" t="s">
        <v>40</v>
      </c>
    </row>
    <row r="181" spans="2:24" ht="18" customHeight="1" x14ac:dyDescent="0.3">
      <c r="B181" s="25" t="s">
        <v>381</v>
      </c>
      <c r="C181" s="25"/>
      <c r="D181" s="25"/>
      <c r="E181" s="25"/>
      <c r="F181" s="26"/>
      <c r="G181" s="84"/>
      <c r="H181" s="28"/>
      <c r="I181" s="29"/>
      <c r="J181" s="30"/>
      <c r="K181" s="75"/>
      <c r="L181" s="76"/>
      <c r="M181" s="77"/>
      <c r="N181" s="75"/>
      <c r="O181" s="76">
        <v>21100</v>
      </c>
      <c r="P181" s="78">
        <f t="shared" si="13"/>
        <v>21100</v>
      </c>
      <c r="Q181" s="79">
        <v>21009</v>
      </c>
      <c r="R181" s="90">
        <v>46079</v>
      </c>
      <c r="S181" s="91">
        <v>46139</v>
      </c>
      <c r="T181" s="82"/>
      <c r="U181" s="91"/>
      <c r="V181" s="36"/>
      <c r="W181" s="88"/>
    </row>
    <row r="182" spans="2:24" ht="18" customHeight="1" x14ac:dyDescent="0.3">
      <c r="B182" s="25" t="s">
        <v>382</v>
      </c>
      <c r="C182" s="25"/>
      <c r="D182" s="25"/>
      <c r="E182" s="25"/>
      <c r="F182" s="26" t="s">
        <v>13</v>
      </c>
      <c r="G182" s="27" t="s">
        <v>68</v>
      </c>
      <c r="H182" s="28">
        <v>6429</v>
      </c>
      <c r="I182" s="29" t="s">
        <v>55</v>
      </c>
      <c r="J182" s="30" t="s">
        <v>383</v>
      </c>
      <c r="K182" s="75">
        <v>50000</v>
      </c>
      <c r="L182" s="76">
        <v>30000</v>
      </c>
      <c r="M182" s="77">
        <f t="shared" si="12"/>
        <v>80000</v>
      </c>
      <c r="N182" s="75">
        <v>80000</v>
      </c>
      <c r="O182" s="76"/>
      <c r="P182" s="78">
        <f t="shared" si="13"/>
        <v>80000</v>
      </c>
      <c r="Q182" s="79"/>
      <c r="R182" s="90">
        <v>46037</v>
      </c>
      <c r="S182" s="91"/>
      <c r="T182" s="82" t="s">
        <v>102</v>
      </c>
      <c r="U182" s="91" t="s">
        <v>134</v>
      </c>
      <c r="V182" s="36" t="s">
        <v>365</v>
      </c>
      <c r="W182" s="88" t="s">
        <v>40</v>
      </c>
    </row>
    <row r="183" spans="2:24" ht="18" customHeight="1" x14ac:dyDescent="0.3">
      <c r="B183" s="25" t="s">
        <v>384</v>
      </c>
      <c r="C183" s="25"/>
      <c r="D183" s="25"/>
      <c r="E183" s="25"/>
      <c r="F183" s="26" t="s">
        <v>138</v>
      </c>
      <c r="G183" s="27" t="s">
        <v>385</v>
      </c>
      <c r="H183" s="28">
        <v>6431</v>
      </c>
      <c r="I183" s="29" t="s">
        <v>108</v>
      </c>
      <c r="J183" s="30" t="s">
        <v>386</v>
      </c>
      <c r="K183" s="75">
        <v>0</v>
      </c>
      <c r="L183" s="76">
        <v>105000</v>
      </c>
      <c r="M183" s="77">
        <f t="shared" si="12"/>
        <v>105000</v>
      </c>
      <c r="N183" s="75"/>
      <c r="O183" s="76"/>
      <c r="P183" s="78">
        <f t="shared" si="13"/>
        <v>0</v>
      </c>
      <c r="Q183" s="79"/>
      <c r="R183" s="90"/>
      <c r="S183" s="91"/>
      <c r="T183" s="82" t="s">
        <v>387</v>
      </c>
      <c r="U183" s="91" t="s">
        <v>244</v>
      </c>
      <c r="V183" s="36" t="s">
        <v>388</v>
      </c>
      <c r="W183" s="88" t="s">
        <v>40</v>
      </c>
    </row>
    <row r="184" spans="2:24" ht="18" customHeight="1" x14ac:dyDescent="0.3">
      <c r="B184" s="25" t="s">
        <v>389</v>
      </c>
      <c r="C184" s="25"/>
      <c r="D184" s="25"/>
      <c r="E184" s="25"/>
      <c r="F184" s="26"/>
      <c r="G184" s="27"/>
      <c r="H184" s="28"/>
      <c r="I184" s="29"/>
      <c r="J184" s="30"/>
      <c r="K184" s="75"/>
      <c r="L184" s="76"/>
      <c r="M184" s="77"/>
      <c r="N184" s="75"/>
      <c r="O184" s="76">
        <v>83500</v>
      </c>
      <c r="P184" s="78">
        <f t="shared" si="13"/>
        <v>83500</v>
      </c>
      <c r="Q184" s="79"/>
      <c r="R184" s="104">
        <v>46097</v>
      </c>
      <c r="S184" s="105"/>
      <c r="T184" s="106"/>
      <c r="U184" s="105"/>
      <c r="V184" s="36"/>
      <c r="W184" s="88"/>
    </row>
    <row r="185" spans="2:24" ht="18" customHeight="1" x14ac:dyDescent="0.3">
      <c r="B185" s="25" t="s">
        <v>390</v>
      </c>
      <c r="C185" s="25"/>
      <c r="D185" s="25"/>
      <c r="E185" s="25"/>
      <c r="F185" s="26"/>
      <c r="G185" s="27"/>
      <c r="H185" s="28"/>
      <c r="I185" s="29"/>
      <c r="J185" s="30"/>
      <c r="K185" s="75"/>
      <c r="L185" s="76"/>
      <c r="M185" s="77"/>
      <c r="N185" s="75"/>
      <c r="O185" s="76">
        <v>5000</v>
      </c>
      <c r="P185" s="78">
        <f t="shared" si="13"/>
        <v>5000</v>
      </c>
      <c r="Q185" s="79">
        <v>4930</v>
      </c>
      <c r="R185" s="104">
        <v>46127</v>
      </c>
      <c r="S185" s="105">
        <v>46146</v>
      </c>
      <c r="T185" s="106"/>
      <c r="U185" s="105"/>
      <c r="V185" s="36"/>
      <c r="W185" s="88"/>
    </row>
    <row r="186" spans="2:24" ht="18" customHeight="1" x14ac:dyDescent="0.3">
      <c r="B186" s="3" t="s">
        <v>391</v>
      </c>
      <c r="C186" s="25"/>
      <c r="D186" s="25"/>
      <c r="F186" s="26" t="s">
        <v>100</v>
      </c>
      <c r="G186" s="27" t="s">
        <v>68</v>
      </c>
      <c r="H186" s="28">
        <v>6329</v>
      </c>
      <c r="I186" s="29" t="s">
        <v>55</v>
      </c>
      <c r="J186" s="30" t="s">
        <v>392</v>
      </c>
      <c r="K186" s="75">
        <v>50000</v>
      </c>
      <c r="L186" s="76">
        <v>20000</v>
      </c>
      <c r="M186" s="77">
        <f t="shared" si="12"/>
        <v>70000</v>
      </c>
      <c r="N186" s="75"/>
      <c r="O186" s="76"/>
      <c r="P186" s="78">
        <f t="shared" si="13"/>
        <v>0</v>
      </c>
      <c r="Q186" s="79"/>
      <c r="R186" s="101"/>
      <c r="S186" s="102"/>
      <c r="T186" s="103" t="s">
        <v>131</v>
      </c>
      <c r="U186" s="102" t="s">
        <v>217</v>
      </c>
      <c r="V186" s="36" t="s">
        <v>365</v>
      </c>
      <c r="W186" s="88" t="s">
        <v>40</v>
      </c>
    </row>
    <row r="187" spans="2:24" ht="18" customHeight="1" x14ac:dyDescent="0.3">
      <c r="B187" s="3" t="s">
        <v>393</v>
      </c>
      <c r="C187" s="25"/>
      <c r="D187" s="25"/>
      <c r="F187" s="26"/>
      <c r="G187" s="27"/>
      <c r="H187" s="28"/>
      <c r="I187" s="29"/>
      <c r="J187" s="30"/>
      <c r="K187" s="75"/>
      <c r="L187" s="76"/>
      <c r="M187" s="77"/>
      <c r="N187" s="75">
        <v>9041</v>
      </c>
      <c r="O187" s="76"/>
      <c r="P187" s="78">
        <f t="shared" si="13"/>
        <v>9041</v>
      </c>
      <c r="Q187" s="79">
        <v>9025</v>
      </c>
      <c r="R187" s="101">
        <v>46073</v>
      </c>
      <c r="S187" s="102">
        <v>46148</v>
      </c>
      <c r="T187" s="103"/>
      <c r="U187" s="102"/>
      <c r="V187" s="36"/>
      <c r="W187" s="88"/>
    </row>
    <row r="188" spans="2:24" ht="18" customHeight="1" x14ac:dyDescent="0.3">
      <c r="B188" s="3" t="s">
        <v>394</v>
      </c>
      <c r="C188" s="25"/>
      <c r="D188" s="25"/>
      <c r="F188" s="26"/>
      <c r="G188" s="27"/>
      <c r="H188" s="28"/>
      <c r="I188" s="29"/>
      <c r="J188" s="30"/>
      <c r="K188" s="75"/>
      <c r="L188" s="76"/>
      <c r="M188" s="77"/>
      <c r="N188" s="75"/>
      <c r="O188" s="76">
        <v>12180</v>
      </c>
      <c r="P188" s="78">
        <f t="shared" si="13"/>
        <v>12180</v>
      </c>
      <c r="Q188" s="79"/>
      <c r="R188" s="101">
        <v>46122</v>
      </c>
      <c r="S188" s="102"/>
      <c r="T188" s="103"/>
      <c r="U188" s="102"/>
      <c r="V188" s="36"/>
      <c r="W188" s="88"/>
    </row>
    <row r="189" spans="2:24" ht="18" customHeight="1" x14ac:dyDescent="0.3">
      <c r="B189" s="3" t="s">
        <v>395</v>
      </c>
      <c r="C189" s="25"/>
      <c r="D189" s="25"/>
      <c r="F189" s="26" t="s">
        <v>100</v>
      </c>
      <c r="G189" s="27" t="s">
        <v>68</v>
      </c>
      <c r="H189" s="28">
        <v>6329</v>
      </c>
      <c r="I189" s="29" t="s">
        <v>108</v>
      </c>
      <c r="J189" s="30" t="s">
        <v>396</v>
      </c>
      <c r="K189" s="75">
        <v>0</v>
      </c>
      <c r="L189" s="76">
        <v>30000</v>
      </c>
      <c r="M189" s="77">
        <f t="shared" si="12"/>
        <v>30000</v>
      </c>
      <c r="N189" s="75"/>
      <c r="O189" s="76">
        <v>30000</v>
      </c>
      <c r="P189" s="78">
        <f t="shared" si="13"/>
        <v>30000</v>
      </c>
      <c r="Q189" s="79">
        <v>28026</v>
      </c>
      <c r="R189" s="101">
        <v>45959</v>
      </c>
      <c r="S189" s="102">
        <v>46046</v>
      </c>
      <c r="T189" s="103" t="s">
        <v>131</v>
      </c>
      <c r="U189" s="102" t="s">
        <v>217</v>
      </c>
      <c r="V189" s="36" t="s">
        <v>65</v>
      </c>
      <c r="W189" s="88" t="s">
        <v>40</v>
      </c>
      <c r="X189" s="3" t="s">
        <v>60</v>
      </c>
    </row>
    <row r="190" spans="2:24" ht="18" customHeight="1" x14ac:dyDescent="0.3">
      <c r="B190" s="3" t="s">
        <v>397</v>
      </c>
      <c r="C190" s="25"/>
      <c r="D190" s="25"/>
      <c r="F190" s="26" t="s">
        <v>74</v>
      </c>
      <c r="G190" s="27" t="s">
        <v>68</v>
      </c>
      <c r="H190" s="28"/>
      <c r="I190" s="29"/>
      <c r="J190" s="30" t="s">
        <v>398</v>
      </c>
      <c r="K190" s="75">
        <v>650000</v>
      </c>
      <c r="L190" s="76">
        <v>0</v>
      </c>
      <c r="M190" s="77">
        <f t="shared" si="12"/>
        <v>650000</v>
      </c>
      <c r="N190" s="75"/>
      <c r="O190" s="76"/>
      <c r="P190" s="78"/>
      <c r="Q190" s="79"/>
      <c r="R190" s="104"/>
      <c r="S190" s="105"/>
      <c r="T190" s="106"/>
      <c r="U190" s="105"/>
      <c r="V190" s="80"/>
      <c r="W190" s="88"/>
    </row>
    <row r="191" spans="2:24" ht="18" customHeight="1" x14ac:dyDescent="0.3">
      <c r="B191" s="3" t="s">
        <v>399</v>
      </c>
      <c r="C191" s="25"/>
      <c r="D191" s="25"/>
      <c r="F191" s="26" t="s">
        <v>74</v>
      </c>
      <c r="G191" s="27" t="s">
        <v>68</v>
      </c>
      <c r="H191" s="28"/>
      <c r="I191" s="29"/>
      <c r="J191" s="30" t="s">
        <v>400</v>
      </c>
      <c r="K191" s="75">
        <v>50000</v>
      </c>
      <c r="L191" s="76">
        <v>0</v>
      </c>
      <c r="M191" s="77">
        <f t="shared" si="12"/>
        <v>50000</v>
      </c>
      <c r="N191" s="75"/>
      <c r="O191" s="76"/>
      <c r="P191" s="78"/>
      <c r="Q191" s="79"/>
      <c r="R191" s="104"/>
      <c r="S191" s="105"/>
      <c r="T191" s="106"/>
      <c r="U191" s="105"/>
      <c r="V191" s="80"/>
      <c r="W191" s="88"/>
    </row>
    <row r="192" spans="2:24" s="306" customFormat="1" ht="18" customHeight="1" x14ac:dyDescent="0.3">
      <c r="B192" s="306" t="s">
        <v>401</v>
      </c>
      <c r="C192" s="307"/>
      <c r="D192" s="307"/>
      <c r="F192" s="92" t="s">
        <v>74</v>
      </c>
      <c r="G192" s="308" t="s">
        <v>68</v>
      </c>
      <c r="H192" s="309"/>
      <c r="I192" s="310"/>
      <c r="J192" s="311" t="s">
        <v>402</v>
      </c>
      <c r="K192" s="312">
        <v>0</v>
      </c>
      <c r="L192" s="313">
        <v>50000</v>
      </c>
      <c r="M192" s="314">
        <f t="shared" si="12"/>
        <v>50000</v>
      </c>
      <c r="N192" s="312"/>
      <c r="O192" s="313"/>
      <c r="P192" s="315"/>
      <c r="Q192" s="316"/>
      <c r="R192" s="317"/>
      <c r="S192" s="318"/>
      <c r="T192" s="319"/>
      <c r="U192" s="318"/>
      <c r="V192" s="320"/>
      <c r="W192" s="321"/>
    </row>
    <row r="193" spans="2:24" s="306" customFormat="1" ht="18" customHeight="1" x14ac:dyDescent="0.3">
      <c r="B193" s="306" t="s">
        <v>403</v>
      </c>
      <c r="C193" s="307"/>
      <c r="D193" s="307"/>
      <c r="F193" s="92"/>
      <c r="G193" s="308"/>
      <c r="H193" s="309"/>
      <c r="I193" s="310"/>
      <c r="J193" s="311"/>
      <c r="K193" s="312"/>
      <c r="L193" s="313"/>
      <c r="M193" s="314"/>
      <c r="N193" s="312"/>
      <c r="O193" s="313">
        <v>5560</v>
      </c>
      <c r="P193" s="315">
        <f t="shared" si="13"/>
        <v>5560</v>
      </c>
      <c r="Q193" s="316"/>
      <c r="R193" s="317">
        <v>46100</v>
      </c>
      <c r="S193" s="318">
        <v>46141</v>
      </c>
      <c r="T193" s="319"/>
      <c r="U193" s="318"/>
      <c r="V193" s="320"/>
      <c r="W193" s="321"/>
    </row>
    <row r="194" spans="2:24" ht="18" customHeight="1" x14ac:dyDescent="0.3">
      <c r="B194" s="25" t="s">
        <v>404</v>
      </c>
      <c r="C194" s="25"/>
      <c r="D194" s="25"/>
      <c r="E194" s="25"/>
      <c r="F194" s="26" t="s">
        <v>40</v>
      </c>
      <c r="G194" s="27" t="s">
        <v>49</v>
      </c>
      <c r="H194" s="28"/>
      <c r="I194" s="29"/>
      <c r="J194" s="30"/>
      <c r="K194" s="75">
        <v>0</v>
      </c>
      <c r="L194" s="76">
        <v>0</v>
      </c>
      <c r="M194" s="77">
        <f t="shared" si="12"/>
        <v>0</v>
      </c>
      <c r="N194" s="75"/>
      <c r="O194" s="76"/>
      <c r="P194" s="78">
        <f t="shared" si="13"/>
        <v>0</v>
      </c>
      <c r="Q194" s="79"/>
      <c r="R194" s="36"/>
      <c r="S194" s="37"/>
      <c r="T194" s="80" t="s">
        <v>49</v>
      </c>
      <c r="U194" s="37" t="s">
        <v>49</v>
      </c>
      <c r="V194" s="82" t="s">
        <v>40</v>
      </c>
      <c r="W194" s="83" t="s">
        <v>40</v>
      </c>
    </row>
    <row r="195" spans="2:24" ht="18" customHeight="1" x14ac:dyDescent="0.3">
      <c r="B195" s="25" t="s">
        <v>405</v>
      </c>
      <c r="C195" s="25"/>
      <c r="D195" s="25"/>
      <c r="E195" s="25"/>
      <c r="F195" s="92" t="s">
        <v>10</v>
      </c>
      <c r="G195" s="27" t="s">
        <v>79</v>
      </c>
      <c r="H195" s="28">
        <v>6061</v>
      </c>
      <c r="I195" s="29" t="s">
        <v>55</v>
      </c>
      <c r="J195" s="30" t="s">
        <v>406</v>
      </c>
      <c r="K195" s="75">
        <v>350000</v>
      </c>
      <c r="L195" s="93">
        <v>50000</v>
      </c>
      <c r="M195" s="77">
        <f t="shared" si="12"/>
        <v>400000</v>
      </c>
      <c r="N195" s="75"/>
      <c r="O195" s="93"/>
      <c r="P195" s="78">
        <f t="shared" si="13"/>
        <v>0</v>
      </c>
      <c r="Q195" s="79"/>
      <c r="R195" s="94"/>
      <c r="S195" s="86"/>
      <c r="T195" s="96" t="s">
        <v>81</v>
      </c>
      <c r="U195" s="152" t="s">
        <v>42</v>
      </c>
      <c r="V195" s="80" t="s">
        <v>334</v>
      </c>
      <c r="W195" s="88" t="s">
        <v>49</v>
      </c>
    </row>
    <row r="196" spans="2:24" ht="18" customHeight="1" x14ac:dyDescent="0.3">
      <c r="B196" s="25" t="s">
        <v>407</v>
      </c>
      <c r="C196" s="25"/>
      <c r="D196" s="25"/>
      <c r="E196" s="25"/>
      <c r="F196" s="92" t="s">
        <v>10</v>
      </c>
      <c r="G196" s="27" t="s">
        <v>79</v>
      </c>
      <c r="H196" s="28">
        <v>6061</v>
      </c>
      <c r="I196" s="29" t="s">
        <v>55</v>
      </c>
      <c r="J196" s="30" t="s">
        <v>408</v>
      </c>
      <c r="K196" s="75">
        <v>100000</v>
      </c>
      <c r="L196" s="93">
        <v>0</v>
      </c>
      <c r="M196" s="77">
        <f t="shared" si="12"/>
        <v>100000</v>
      </c>
      <c r="N196" s="75"/>
      <c r="O196" s="93"/>
      <c r="P196" s="78">
        <f t="shared" si="13"/>
        <v>0</v>
      </c>
      <c r="Q196" s="79"/>
      <c r="R196" s="94"/>
      <c r="S196" s="86"/>
      <c r="T196" s="96" t="s">
        <v>81</v>
      </c>
      <c r="U196" s="152" t="s">
        <v>42</v>
      </c>
      <c r="V196" s="80" t="s">
        <v>334</v>
      </c>
      <c r="W196" s="88" t="s">
        <v>49</v>
      </c>
    </row>
    <row r="197" spans="2:24" ht="18" customHeight="1" x14ac:dyDescent="0.3">
      <c r="B197" s="25" t="s">
        <v>409</v>
      </c>
      <c r="C197" s="25"/>
      <c r="D197" s="25"/>
      <c r="E197" s="25"/>
      <c r="F197" s="92" t="s">
        <v>10</v>
      </c>
      <c r="G197" s="27" t="s">
        <v>79</v>
      </c>
      <c r="H197" s="28">
        <v>6061</v>
      </c>
      <c r="I197" s="29" t="s">
        <v>55</v>
      </c>
      <c r="J197" s="30" t="s">
        <v>410</v>
      </c>
      <c r="K197" s="75">
        <v>150000</v>
      </c>
      <c r="L197" s="93">
        <v>50000</v>
      </c>
      <c r="M197" s="77">
        <f t="shared" si="12"/>
        <v>200000</v>
      </c>
      <c r="N197" s="75"/>
      <c r="O197" s="93"/>
      <c r="P197" s="78">
        <f t="shared" si="13"/>
        <v>0</v>
      </c>
      <c r="Q197" s="79"/>
      <c r="R197" s="94"/>
      <c r="S197" s="86"/>
      <c r="T197" s="96" t="s">
        <v>81</v>
      </c>
      <c r="U197" s="152" t="s">
        <v>42</v>
      </c>
      <c r="V197" s="80" t="s">
        <v>334</v>
      </c>
      <c r="W197" s="88" t="s">
        <v>49</v>
      </c>
    </row>
    <row r="198" spans="2:24" ht="18" customHeight="1" x14ac:dyDescent="0.3">
      <c r="B198" s="25" t="s">
        <v>411</v>
      </c>
      <c r="C198" s="25"/>
      <c r="D198" s="25"/>
      <c r="E198" s="25"/>
      <c r="F198" s="26" t="s">
        <v>53</v>
      </c>
      <c r="G198" s="84" t="s">
        <v>54</v>
      </c>
      <c r="H198" s="28">
        <v>6129</v>
      </c>
      <c r="I198" s="29" t="s">
        <v>55</v>
      </c>
      <c r="J198" s="30" t="s">
        <v>412</v>
      </c>
      <c r="K198" s="75">
        <v>250000</v>
      </c>
      <c r="L198" s="76">
        <v>0</v>
      </c>
      <c r="M198" s="77">
        <f t="shared" si="12"/>
        <v>250000</v>
      </c>
      <c r="N198" s="75">
        <v>250000</v>
      </c>
      <c r="O198" s="76"/>
      <c r="P198" s="78">
        <f t="shared" si="13"/>
        <v>250000</v>
      </c>
      <c r="Q198" s="79">
        <v>248000</v>
      </c>
      <c r="R198" s="90">
        <v>45915</v>
      </c>
      <c r="S198" s="91">
        <v>46100</v>
      </c>
      <c r="T198" s="82" t="s">
        <v>63</v>
      </c>
      <c r="U198" s="91" t="s">
        <v>64</v>
      </c>
      <c r="V198" s="36" t="s">
        <v>365</v>
      </c>
      <c r="W198" s="88" t="s">
        <v>49</v>
      </c>
      <c r="X198" s="3" t="s">
        <v>60</v>
      </c>
    </row>
    <row r="199" spans="2:24" ht="18" customHeight="1" x14ac:dyDescent="0.3">
      <c r="B199" s="155" t="s">
        <v>413</v>
      </c>
      <c r="C199" s="156"/>
      <c r="D199" s="156"/>
      <c r="E199" s="155"/>
      <c r="F199" s="157" t="s">
        <v>100</v>
      </c>
      <c r="G199" s="158" t="s">
        <v>68</v>
      </c>
      <c r="H199" s="159">
        <v>6329</v>
      </c>
      <c r="I199" s="160" t="s">
        <v>55</v>
      </c>
      <c r="J199" s="161" t="s">
        <v>414</v>
      </c>
      <c r="K199" s="162">
        <v>70000</v>
      </c>
      <c r="L199" s="163">
        <v>0</v>
      </c>
      <c r="M199" s="164">
        <f t="shared" si="12"/>
        <v>70000</v>
      </c>
      <c r="N199" s="162"/>
      <c r="O199" s="163"/>
      <c r="P199" s="165">
        <f t="shared" si="13"/>
        <v>0</v>
      </c>
      <c r="Q199" s="166"/>
      <c r="R199" s="167"/>
      <c r="S199" s="168"/>
      <c r="T199" s="169" t="s">
        <v>131</v>
      </c>
      <c r="U199" s="168" t="s">
        <v>217</v>
      </c>
      <c r="V199" s="170" t="s">
        <v>323</v>
      </c>
      <c r="W199" s="171" t="s">
        <v>49</v>
      </c>
    </row>
    <row r="200" spans="2:24" ht="18" customHeight="1" x14ac:dyDescent="0.3">
      <c r="B200" s="74" t="s">
        <v>415</v>
      </c>
      <c r="C200" s="74"/>
      <c r="D200" s="81"/>
      <c r="F200" s="172" t="s">
        <v>49</v>
      </c>
      <c r="G200" s="27" t="s">
        <v>49</v>
      </c>
      <c r="H200" s="28" t="s">
        <v>49</v>
      </c>
      <c r="I200" s="29"/>
      <c r="J200" s="30"/>
      <c r="K200" s="75">
        <v>0</v>
      </c>
      <c r="L200" s="76">
        <v>0</v>
      </c>
      <c r="M200" s="77">
        <f t="shared" si="12"/>
        <v>0</v>
      </c>
      <c r="N200" s="75"/>
      <c r="O200" s="76"/>
      <c r="P200" s="78">
        <f t="shared" si="13"/>
        <v>0</v>
      </c>
      <c r="Q200" s="79"/>
      <c r="R200" s="173"/>
      <c r="S200" s="37"/>
      <c r="T200" s="174" t="s">
        <v>49</v>
      </c>
      <c r="U200" s="37" t="s">
        <v>49</v>
      </c>
      <c r="V200" s="87" t="s">
        <v>40</v>
      </c>
      <c r="W200" s="175" t="s">
        <v>40</v>
      </c>
    </row>
    <row r="201" spans="2:24" ht="18" customHeight="1" x14ac:dyDescent="0.3">
      <c r="B201" s="25" t="s">
        <v>416</v>
      </c>
      <c r="C201" s="81"/>
      <c r="D201" s="25"/>
      <c r="E201" s="25"/>
      <c r="F201" s="176" t="s">
        <v>10</v>
      </c>
      <c r="G201" s="84" t="s">
        <v>79</v>
      </c>
      <c r="H201" s="177">
        <v>6061</v>
      </c>
      <c r="I201" s="178" t="s">
        <v>55</v>
      </c>
      <c r="J201" s="179" t="s">
        <v>417</v>
      </c>
      <c r="K201" s="75">
        <v>300000</v>
      </c>
      <c r="L201" s="93">
        <v>0</v>
      </c>
      <c r="M201" s="77">
        <f t="shared" si="12"/>
        <v>300000</v>
      </c>
      <c r="N201" s="75"/>
      <c r="O201" s="93"/>
      <c r="P201" s="78">
        <f t="shared" si="13"/>
        <v>0</v>
      </c>
      <c r="Q201" s="79"/>
      <c r="R201" s="94"/>
      <c r="S201" s="95"/>
      <c r="T201" s="96" t="s">
        <v>81</v>
      </c>
      <c r="U201" s="97" t="s">
        <v>82</v>
      </c>
      <c r="V201" s="80" t="s">
        <v>418</v>
      </c>
      <c r="W201" s="88" t="s">
        <v>49</v>
      </c>
    </row>
    <row r="202" spans="2:24" ht="18" customHeight="1" x14ac:dyDescent="0.3">
      <c r="B202" s="25" t="s">
        <v>419</v>
      </c>
      <c r="C202" s="81"/>
      <c r="D202" s="25"/>
      <c r="E202" s="25"/>
      <c r="F202" s="176" t="s">
        <v>10</v>
      </c>
      <c r="G202" s="84" t="s">
        <v>79</v>
      </c>
      <c r="H202" s="177">
        <v>6061</v>
      </c>
      <c r="I202" s="178" t="s">
        <v>55</v>
      </c>
      <c r="J202" s="179" t="s">
        <v>420</v>
      </c>
      <c r="K202" s="75">
        <v>600000</v>
      </c>
      <c r="L202" s="93">
        <v>0</v>
      </c>
      <c r="M202" s="77">
        <f t="shared" si="12"/>
        <v>600000</v>
      </c>
      <c r="N202" s="75"/>
      <c r="O202" s="93"/>
      <c r="P202" s="78">
        <f t="shared" si="13"/>
        <v>0</v>
      </c>
      <c r="Q202" s="79"/>
      <c r="R202" s="94"/>
      <c r="S202" s="95"/>
      <c r="T202" s="96" t="s">
        <v>81</v>
      </c>
      <c r="U202" s="97" t="s">
        <v>82</v>
      </c>
      <c r="V202" s="80" t="s">
        <v>418</v>
      </c>
      <c r="W202" s="88" t="s">
        <v>40</v>
      </c>
    </row>
    <row r="203" spans="2:24" ht="18" customHeight="1" x14ac:dyDescent="0.3">
      <c r="B203" s="25" t="s">
        <v>421</v>
      </c>
      <c r="C203" s="81"/>
      <c r="D203" s="25"/>
      <c r="E203" s="25"/>
      <c r="F203" s="176" t="s">
        <v>11</v>
      </c>
      <c r="G203" s="84" t="s">
        <v>85</v>
      </c>
      <c r="H203" s="177"/>
      <c r="I203" s="178"/>
      <c r="J203" s="179" t="s">
        <v>422</v>
      </c>
      <c r="K203" s="75"/>
      <c r="L203" s="98"/>
      <c r="M203" s="77"/>
      <c r="N203" s="75">
        <v>102000</v>
      </c>
      <c r="O203" s="98"/>
      <c r="P203" s="78">
        <f t="shared" si="13"/>
        <v>102000</v>
      </c>
      <c r="Q203" s="79"/>
      <c r="R203" s="94">
        <v>46087</v>
      </c>
      <c r="S203" s="95"/>
      <c r="T203" s="96"/>
      <c r="U203" s="99"/>
      <c r="V203" s="80"/>
      <c r="W203" s="88"/>
    </row>
    <row r="204" spans="2:24" s="306" customFormat="1" ht="18" customHeight="1" x14ac:dyDescent="0.3">
      <c r="B204" s="307" t="s">
        <v>423</v>
      </c>
      <c r="C204" s="322"/>
      <c r="D204" s="307"/>
      <c r="E204" s="307"/>
      <c r="F204" s="176" t="s">
        <v>184</v>
      </c>
      <c r="G204" s="323" t="s">
        <v>75</v>
      </c>
      <c r="H204" s="324"/>
      <c r="I204" s="325"/>
      <c r="J204" s="326" t="s">
        <v>424</v>
      </c>
      <c r="K204" s="312"/>
      <c r="L204" s="327"/>
      <c r="M204" s="314"/>
      <c r="N204" s="312">
        <v>83500</v>
      </c>
      <c r="O204" s="327"/>
      <c r="P204" s="315">
        <f t="shared" si="13"/>
        <v>83500</v>
      </c>
      <c r="Q204" s="316"/>
      <c r="R204" s="328">
        <v>46087</v>
      </c>
      <c r="S204" s="329"/>
      <c r="T204" s="330"/>
      <c r="U204" s="331"/>
      <c r="V204" s="320"/>
      <c r="W204" s="321"/>
    </row>
    <row r="205" spans="2:24" s="306" customFormat="1" ht="18" customHeight="1" x14ac:dyDescent="0.3">
      <c r="B205" s="307" t="s">
        <v>425</v>
      </c>
      <c r="C205" s="322"/>
      <c r="D205" s="307"/>
      <c r="E205" s="307"/>
      <c r="F205" s="176" t="s">
        <v>184</v>
      </c>
      <c r="G205" s="323" t="s">
        <v>75</v>
      </c>
      <c r="H205" s="324"/>
      <c r="I205" s="325"/>
      <c r="J205" s="326" t="s">
        <v>426</v>
      </c>
      <c r="K205" s="312"/>
      <c r="L205" s="327"/>
      <c r="M205" s="314"/>
      <c r="N205" s="312">
        <v>40000</v>
      </c>
      <c r="O205" s="327"/>
      <c r="P205" s="315">
        <f t="shared" si="13"/>
        <v>40000</v>
      </c>
      <c r="Q205" s="316"/>
      <c r="R205" s="328">
        <v>46087</v>
      </c>
      <c r="S205" s="329"/>
      <c r="T205" s="330"/>
      <c r="U205" s="331"/>
      <c r="V205" s="320"/>
      <c r="W205" s="321"/>
    </row>
    <row r="206" spans="2:24" ht="18" customHeight="1" x14ac:dyDescent="0.3">
      <c r="B206" s="25" t="s">
        <v>427</v>
      </c>
      <c r="C206" s="81"/>
      <c r="D206" s="25"/>
      <c r="E206" s="25"/>
      <c r="F206" s="176" t="s">
        <v>94</v>
      </c>
      <c r="G206" s="84" t="s">
        <v>75</v>
      </c>
      <c r="H206" s="177"/>
      <c r="I206" s="178"/>
      <c r="J206" s="179" t="s">
        <v>428</v>
      </c>
      <c r="K206" s="75"/>
      <c r="L206" s="98"/>
      <c r="M206" s="77"/>
      <c r="N206" s="75">
        <v>57400</v>
      </c>
      <c r="O206" s="98"/>
      <c r="P206" s="78">
        <f t="shared" si="13"/>
        <v>57400</v>
      </c>
      <c r="Q206" s="79"/>
      <c r="R206" s="94">
        <v>46087</v>
      </c>
      <c r="S206" s="95"/>
      <c r="T206" s="96"/>
      <c r="U206" s="99"/>
      <c r="V206" s="80"/>
      <c r="W206" s="88"/>
    </row>
    <row r="207" spans="2:24" s="306" customFormat="1" ht="18" customHeight="1" x14ac:dyDescent="0.3">
      <c r="B207" s="307" t="s">
        <v>429</v>
      </c>
      <c r="C207" s="322"/>
      <c r="D207" s="307"/>
      <c r="E207" s="307"/>
      <c r="F207" s="176" t="s">
        <v>74</v>
      </c>
      <c r="G207" s="323" t="s">
        <v>75</v>
      </c>
      <c r="H207" s="324"/>
      <c r="I207" s="325"/>
      <c r="J207" s="326" t="s">
        <v>430</v>
      </c>
      <c r="K207" s="312"/>
      <c r="L207" s="327">
        <v>50000</v>
      </c>
      <c r="M207" s="314">
        <f t="shared" ref="M207" si="14">SUM(K207:L207)</f>
        <v>50000</v>
      </c>
      <c r="N207" s="312"/>
      <c r="O207" s="327"/>
      <c r="P207" s="315">
        <f t="shared" si="13"/>
        <v>0</v>
      </c>
      <c r="Q207" s="316"/>
      <c r="R207" s="328"/>
      <c r="S207" s="329"/>
      <c r="T207" s="330"/>
      <c r="U207" s="331"/>
      <c r="V207" s="320"/>
      <c r="W207" s="321"/>
    </row>
    <row r="208" spans="2:24" ht="18" customHeight="1" x14ac:dyDescent="0.3">
      <c r="B208" s="25" t="s">
        <v>431</v>
      </c>
      <c r="C208" s="81"/>
      <c r="D208" s="25"/>
      <c r="E208" s="25"/>
      <c r="F208" s="180"/>
      <c r="G208" s="84"/>
      <c r="H208" s="177"/>
      <c r="I208" s="178"/>
      <c r="J208" s="179"/>
      <c r="K208" s="75"/>
      <c r="L208" s="98"/>
      <c r="M208" s="77"/>
      <c r="N208" s="75"/>
      <c r="O208" s="98">
        <v>16000</v>
      </c>
      <c r="P208" s="78">
        <f t="shared" si="13"/>
        <v>16000</v>
      </c>
      <c r="Q208" s="79">
        <v>16000</v>
      </c>
      <c r="R208" s="94">
        <v>46106</v>
      </c>
      <c r="S208" s="95">
        <v>46140</v>
      </c>
      <c r="T208" s="96"/>
      <c r="U208" s="99"/>
      <c r="V208" s="80"/>
      <c r="W208" s="88"/>
    </row>
    <row r="209" spans="2:23" ht="18" customHeight="1" x14ac:dyDescent="0.3">
      <c r="B209" s="42"/>
      <c r="C209" s="181"/>
      <c r="D209" s="42"/>
      <c r="E209" s="42"/>
      <c r="F209" s="182"/>
      <c r="G209" s="183"/>
      <c r="H209" s="184"/>
      <c r="I209" s="185"/>
      <c r="J209" s="186"/>
      <c r="K209" s="187"/>
      <c r="L209" s="188"/>
      <c r="M209" s="189"/>
      <c r="N209" s="187"/>
      <c r="O209" s="188"/>
      <c r="P209" s="190"/>
      <c r="Q209" s="191"/>
      <c r="R209" s="192"/>
      <c r="S209" s="193"/>
      <c r="T209" s="194"/>
      <c r="U209" s="195"/>
      <c r="V209" s="196"/>
      <c r="W209" s="197"/>
    </row>
    <row r="210" spans="2:23" ht="18" customHeight="1" x14ac:dyDescent="0.3">
      <c r="B210" s="288" t="s">
        <v>432</v>
      </c>
      <c r="C210" s="288"/>
      <c r="D210" s="288"/>
      <c r="E210" s="288"/>
      <c r="F210" s="198" t="s">
        <v>49</v>
      </c>
      <c r="G210" s="199" t="s">
        <v>40</v>
      </c>
      <c r="H210" s="200"/>
      <c r="I210" s="201"/>
      <c r="J210" s="202"/>
      <c r="K210" s="203">
        <f t="shared" ref="K210:Q210" si="15">SUM(K27:K209)</f>
        <v>16129500</v>
      </c>
      <c r="L210" s="204">
        <f t="shared" si="15"/>
        <v>2289000</v>
      </c>
      <c r="M210" s="205">
        <f t="shared" si="15"/>
        <v>18418500</v>
      </c>
      <c r="N210" s="203">
        <f t="shared" si="15"/>
        <v>5244836</v>
      </c>
      <c r="O210" s="204">
        <f t="shared" si="15"/>
        <v>1624137</v>
      </c>
      <c r="P210" s="206">
        <f t="shared" si="15"/>
        <v>6868973</v>
      </c>
      <c r="Q210" s="207">
        <f t="shared" si="15"/>
        <v>2773349</v>
      </c>
      <c r="R210" s="208"/>
      <c r="S210" s="209"/>
      <c r="T210" s="210" t="s">
        <v>40</v>
      </c>
      <c r="U210" s="209" t="s">
        <v>40</v>
      </c>
      <c r="V210" s="210" t="s">
        <v>40</v>
      </c>
      <c r="W210" s="211" t="s">
        <v>40</v>
      </c>
    </row>
    <row r="211" spans="2:23" ht="18" customHeight="1" x14ac:dyDescent="0.3">
      <c r="B211" s="25" t="s">
        <v>433</v>
      </c>
      <c r="C211" s="25"/>
      <c r="D211" s="25"/>
      <c r="E211" s="74"/>
      <c r="F211" s="176" t="s">
        <v>10</v>
      </c>
      <c r="G211" s="84" t="s">
        <v>79</v>
      </c>
      <c r="H211" s="177">
        <v>6061</v>
      </c>
      <c r="I211" s="178" t="s">
        <v>55</v>
      </c>
      <c r="J211" s="179" t="s">
        <v>434</v>
      </c>
      <c r="K211" s="75">
        <v>80000</v>
      </c>
      <c r="L211" s="93">
        <v>20000</v>
      </c>
      <c r="M211" s="77">
        <f t="shared" ref="M211:M261" si="16">SUM(K211:L211)</f>
        <v>100000</v>
      </c>
      <c r="N211" s="75"/>
      <c r="O211" s="93"/>
      <c r="P211" s="78">
        <f t="shared" ref="P211:P237" si="17">SUM(N211:O211)</f>
        <v>0</v>
      </c>
      <c r="Q211" s="79"/>
      <c r="R211" s="212"/>
      <c r="S211" s="112"/>
      <c r="T211" s="213" t="s">
        <v>41</v>
      </c>
      <c r="U211" s="113" t="s">
        <v>42</v>
      </c>
      <c r="V211" s="80" t="s">
        <v>435</v>
      </c>
      <c r="W211" s="88" t="s">
        <v>40</v>
      </c>
    </row>
    <row r="212" spans="2:23" ht="18" customHeight="1" x14ac:dyDescent="0.3">
      <c r="B212" s="25" t="s">
        <v>436</v>
      </c>
      <c r="C212" s="25"/>
      <c r="D212" s="25"/>
      <c r="E212" s="74"/>
      <c r="F212" s="180" t="s">
        <v>53</v>
      </c>
      <c r="G212" s="84" t="s">
        <v>338</v>
      </c>
      <c r="H212" s="28">
        <v>6129</v>
      </c>
      <c r="I212" s="28" t="s">
        <v>108</v>
      </c>
      <c r="J212" s="179" t="s">
        <v>437</v>
      </c>
      <c r="K212" s="75">
        <v>0</v>
      </c>
      <c r="L212" s="93">
        <v>20000</v>
      </c>
      <c r="M212" s="77">
        <f t="shared" si="16"/>
        <v>20000</v>
      </c>
      <c r="N212" s="75"/>
      <c r="O212" s="93"/>
      <c r="P212" s="78">
        <f t="shared" si="17"/>
        <v>0</v>
      </c>
      <c r="Q212" s="79"/>
      <c r="R212" s="212"/>
      <c r="S212" s="112"/>
      <c r="T212" s="40"/>
      <c r="U212" s="114"/>
      <c r="V212" s="80"/>
      <c r="W212" s="88"/>
    </row>
    <row r="213" spans="2:23" ht="18" customHeight="1" x14ac:dyDescent="0.3">
      <c r="B213" s="25" t="s">
        <v>438</v>
      </c>
      <c r="C213" s="25"/>
      <c r="D213" s="25"/>
      <c r="E213" s="74"/>
      <c r="F213" s="180"/>
      <c r="G213" s="84"/>
      <c r="H213" s="28"/>
      <c r="I213" s="28"/>
      <c r="J213" s="179"/>
      <c r="K213" s="75"/>
      <c r="L213" s="93"/>
      <c r="M213" s="77"/>
      <c r="N213" s="75"/>
      <c r="O213" s="93">
        <v>8200</v>
      </c>
      <c r="P213" s="78">
        <f t="shared" si="17"/>
        <v>8200</v>
      </c>
      <c r="Q213" s="79"/>
      <c r="R213" s="212">
        <v>46127</v>
      </c>
      <c r="S213" s="112"/>
      <c r="T213" s="40"/>
      <c r="U213" s="114"/>
      <c r="V213" s="80"/>
      <c r="W213" s="88"/>
    </row>
    <row r="214" spans="2:23" ht="18" customHeight="1" x14ac:dyDescent="0.3">
      <c r="B214" s="25" t="s">
        <v>439</v>
      </c>
      <c r="C214" s="25"/>
      <c r="D214" s="25"/>
      <c r="E214" s="74"/>
      <c r="F214" s="180" t="s">
        <v>53</v>
      </c>
      <c r="G214" s="84" t="s">
        <v>338</v>
      </c>
      <c r="H214" s="28">
        <v>6129</v>
      </c>
      <c r="I214" s="28" t="s">
        <v>55</v>
      </c>
      <c r="J214" s="179" t="s">
        <v>440</v>
      </c>
      <c r="K214" s="75">
        <v>0</v>
      </c>
      <c r="L214" s="93">
        <v>20000</v>
      </c>
      <c r="M214" s="77">
        <f t="shared" si="16"/>
        <v>20000</v>
      </c>
      <c r="N214" s="75"/>
      <c r="O214" s="93"/>
      <c r="P214" s="78">
        <f t="shared" si="17"/>
        <v>0</v>
      </c>
      <c r="Q214" s="79"/>
      <c r="R214" s="212"/>
      <c r="S214" s="112"/>
      <c r="T214" s="40"/>
      <c r="U214" s="114"/>
      <c r="V214" s="80"/>
      <c r="W214" s="88"/>
    </row>
    <row r="215" spans="2:23" ht="18" customHeight="1" x14ac:dyDescent="0.3">
      <c r="B215" s="25" t="s">
        <v>441</v>
      </c>
      <c r="C215" s="25"/>
      <c r="D215" s="25"/>
      <c r="E215" s="74"/>
      <c r="F215" s="180"/>
      <c r="G215" s="84"/>
      <c r="H215" s="28"/>
      <c r="I215" s="28"/>
      <c r="J215" s="179"/>
      <c r="K215" s="75"/>
      <c r="L215" s="93"/>
      <c r="M215" s="77"/>
      <c r="N215" s="75"/>
      <c r="O215" s="93">
        <v>6380</v>
      </c>
      <c r="P215" s="78">
        <f t="shared" si="17"/>
        <v>6380</v>
      </c>
      <c r="Q215" s="79"/>
      <c r="R215" s="212">
        <v>46126</v>
      </c>
      <c r="S215" s="112"/>
      <c r="T215" s="40"/>
      <c r="U215" s="114"/>
      <c r="V215" s="80"/>
      <c r="W215" s="88"/>
    </row>
    <row r="216" spans="2:23" ht="18" customHeight="1" x14ac:dyDescent="0.3">
      <c r="B216" s="25" t="s">
        <v>442</v>
      </c>
      <c r="C216" s="25"/>
      <c r="D216" s="25"/>
      <c r="E216" s="74"/>
      <c r="F216" s="180"/>
      <c r="G216" s="84"/>
      <c r="H216" s="28"/>
      <c r="I216" s="28"/>
      <c r="J216" s="179"/>
      <c r="K216" s="75"/>
      <c r="L216" s="93"/>
      <c r="M216" s="77"/>
      <c r="N216" s="75"/>
      <c r="O216" s="93">
        <v>11720</v>
      </c>
      <c r="P216" s="78">
        <f t="shared" si="17"/>
        <v>11720</v>
      </c>
      <c r="Q216" s="79"/>
      <c r="R216" s="212">
        <v>46142</v>
      </c>
      <c r="S216" s="112"/>
      <c r="T216" s="40"/>
      <c r="U216" s="114"/>
      <c r="V216" s="80"/>
      <c r="W216" s="88"/>
    </row>
    <row r="217" spans="2:23" ht="18" customHeight="1" x14ac:dyDescent="0.3">
      <c r="B217" s="25" t="s">
        <v>443</v>
      </c>
      <c r="C217" s="25"/>
      <c r="D217" s="25"/>
      <c r="E217" s="74"/>
      <c r="F217" s="180" t="s">
        <v>53</v>
      </c>
      <c r="G217" s="84" t="s">
        <v>338</v>
      </c>
      <c r="H217" s="28">
        <v>6129</v>
      </c>
      <c r="I217" s="28" t="s">
        <v>108</v>
      </c>
      <c r="J217" s="179" t="s">
        <v>444</v>
      </c>
      <c r="K217" s="75">
        <v>0</v>
      </c>
      <c r="L217" s="93">
        <v>25000</v>
      </c>
      <c r="M217" s="77">
        <f t="shared" si="16"/>
        <v>25000</v>
      </c>
      <c r="N217" s="75"/>
      <c r="O217" s="93"/>
      <c r="P217" s="78">
        <f t="shared" si="17"/>
        <v>0</v>
      </c>
      <c r="Q217" s="79"/>
      <c r="R217" s="212"/>
      <c r="S217" s="112"/>
      <c r="T217" s="40"/>
      <c r="U217" s="114"/>
      <c r="V217" s="80"/>
      <c r="W217" s="88"/>
    </row>
    <row r="218" spans="2:23" ht="18" customHeight="1" x14ac:dyDescent="0.3">
      <c r="B218" s="25" t="s">
        <v>445</v>
      </c>
      <c r="C218" s="25"/>
      <c r="D218" s="25"/>
      <c r="E218" s="74"/>
      <c r="F218" s="180"/>
      <c r="G218" s="84"/>
      <c r="H218" s="28"/>
      <c r="I218" s="28"/>
      <c r="J218" s="179"/>
      <c r="K218" s="75"/>
      <c r="L218" s="93"/>
      <c r="M218" s="77"/>
      <c r="N218" s="75"/>
      <c r="O218" s="93">
        <v>8500</v>
      </c>
      <c r="P218" s="78">
        <f t="shared" si="17"/>
        <v>8500</v>
      </c>
      <c r="Q218" s="79">
        <v>8500</v>
      </c>
      <c r="R218" s="212">
        <v>46067</v>
      </c>
      <c r="S218" s="112">
        <v>46122</v>
      </c>
      <c r="T218" s="40"/>
      <c r="U218" s="114"/>
      <c r="V218" s="80"/>
      <c r="W218" s="88"/>
    </row>
    <row r="219" spans="2:23" ht="18" customHeight="1" x14ac:dyDescent="0.3">
      <c r="B219" s="25" t="s">
        <v>446</v>
      </c>
      <c r="C219" s="25"/>
      <c r="D219" s="25"/>
      <c r="E219" s="74"/>
      <c r="F219" s="180"/>
      <c r="G219" s="84"/>
      <c r="H219" s="28"/>
      <c r="I219" s="28"/>
      <c r="J219" s="179"/>
      <c r="K219" s="75"/>
      <c r="L219" s="93"/>
      <c r="M219" s="77"/>
      <c r="N219" s="75"/>
      <c r="O219" s="93">
        <v>8900</v>
      </c>
      <c r="P219" s="78">
        <f t="shared" si="17"/>
        <v>8900</v>
      </c>
      <c r="Q219" s="79"/>
      <c r="R219" s="212">
        <v>46094</v>
      </c>
      <c r="S219" s="112"/>
      <c r="T219" s="40"/>
      <c r="U219" s="114"/>
      <c r="V219" s="80"/>
      <c r="W219" s="88"/>
    </row>
    <row r="220" spans="2:23" ht="18" customHeight="1" x14ac:dyDescent="0.3">
      <c r="B220" s="25" t="s">
        <v>447</v>
      </c>
      <c r="C220" s="25"/>
      <c r="D220" s="25"/>
      <c r="E220" s="74"/>
      <c r="F220" s="180" t="s">
        <v>53</v>
      </c>
      <c r="G220" s="84" t="s">
        <v>338</v>
      </c>
      <c r="H220" s="28">
        <v>6129</v>
      </c>
      <c r="I220" s="28" t="s">
        <v>108</v>
      </c>
      <c r="J220" s="179" t="s">
        <v>448</v>
      </c>
      <c r="K220" s="75">
        <v>0</v>
      </c>
      <c r="L220" s="93">
        <v>15000</v>
      </c>
      <c r="M220" s="77">
        <f t="shared" si="16"/>
        <v>15000</v>
      </c>
      <c r="N220" s="75"/>
      <c r="O220" s="93"/>
      <c r="P220" s="78">
        <f t="shared" si="17"/>
        <v>0</v>
      </c>
      <c r="Q220" s="79"/>
      <c r="R220" s="212"/>
      <c r="S220" s="112"/>
      <c r="T220" s="40"/>
      <c r="U220" s="114"/>
      <c r="V220" s="80"/>
      <c r="W220" s="88"/>
    </row>
    <row r="221" spans="2:23" ht="18" customHeight="1" x14ac:dyDescent="0.3">
      <c r="B221" s="25" t="s">
        <v>449</v>
      </c>
      <c r="C221" s="25"/>
      <c r="D221" s="25"/>
      <c r="E221" s="74"/>
      <c r="F221" s="180"/>
      <c r="G221" s="84"/>
      <c r="H221" s="28"/>
      <c r="I221" s="28"/>
      <c r="J221" s="179"/>
      <c r="K221" s="75"/>
      <c r="L221" s="98"/>
      <c r="M221" s="77"/>
      <c r="N221" s="75"/>
      <c r="O221" s="93">
        <v>5800</v>
      </c>
      <c r="P221" s="78">
        <f t="shared" si="17"/>
        <v>5800</v>
      </c>
      <c r="Q221" s="79"/>
      <c r="R221" s="212">
        <v>46148</v>
      </c>
      <c r="S221" s="112"/>
      <c r="T221" s="40"/>
      <c r="U221" s="114"/>
      <c r="V221" s="80"/>
      <c r="W221" s="88"/>
    </row>
    <row r="222" spans="2:23" ht="18" customHeight="1" x14ac:dyDescent="0.3">
      <c r="B222" s="25" t="s">
        <v>450</v>
      </c>
      <c r="C222" s="25"/>
      <c r="D222" s="25"/>
      <c r="E222" s="74"/>
      <c r="F222" s="180" t="s">
        <v>12</v>
      </c>
      <c r="G222" s="84" t="s">
        <v>311</v>
      </c>
      <c r="H222" s="28">
        <v>6229</v>
      </c>
      <c r="I222" s="28" t="s">
        <v>108</v>
      </c>
      <c r="J222" s="179" t="s">
        <v>451</v>
      </c>
      <c r="K222" s="75">
        <v>0</v>
      </c>
      <c r="L222" s="76">
        <v>18000</v>
      </c>
      <c r="M222" s="77">
        <f t="shared" si="16"/>
        <v>18000</v>
      </c>
      <c r="N222" s="75"/>
      <c r="O222" s="93"/>
      <c r="P222" s="78">
        <f t="shared" si="17"/>
        <v>0</v>
      </c>
      <c r="Q222" s="79"/>
      <c r="R222" s="212"/>
      <c r="S222" s="112"/>
      <c r="T222" s="40"/>
      <c r="U222" s="114"/>
      <c r="V222" s="80"/>
      <c r="W222" s="88"/>
    </row>
    <row r="223" spans="2:23" ht="18" customHeight="1" x14ac:dyDescent="0.3">
      <c r="B223" s="25" t="s">
        <v>452</v>
      </c>
      <c r="C223" s="25"/>
      <c r="D223" s="25"/>
      <c r="E223" s="74"/>
      <c r="F223" s="180"/>
      <c r="G223" s="84"/>
      <c r="H223" s="28"/>
      <c r="I223" s="28"/>
      <c r="J223" s="179"/>
      <c r="K223" s="75"/>
      <c r="L223" s="76"/>
      <c r="M223" s="77"/>
      <c r="N223" s="75"/>
      <c r="O223" s="93">
        <v>10000</v>
      </c>
      <c r="P223" s="78">
        <f t="shared" si="17"/>
        <v>10000</v>
      </c>
      <c r="Q223" s="79"/>
      <c r="R223" s="212">
        <v>46048</v>
      </c>
      <c r="S223" s="112"/>
      <c r="T223" s="40"/>
      <c r="U223" s="114"/>
      <c r="V223" s="80"/>
      <c r="W223" s="88"/>
    </row>
    <row r="224" spans="2:23" ht="18" customHeight="1" x14ac:dyDescent="0.3">
      <c r="B224" s="25" t="s">
        <v>453</v>
      </c>
      <c r="C224" s="25"/>
      <c r="D224" s="25"/>
      <c r="E224" s="74"/>
      <c r="F224" s="180" t="s">
        <v>12</v>
      </c>
      <c r="G224" s="84" t="s">
        <v>311</v>
      </c>
      <c r="H224" s="28">
        <v>6229</v>
      </c>
      <c r="I224" s="28" t="s">
        <v>108</v>
      </c>
      <c r="J224" s="179" t="s">
        <v>454</v>
      </c>
      <c r="K224" s="75">
        <v>0</v>
      </c>
      <c r="L224" s="76">
        <v>14000</v>
      </c>
      <c r="M224" s="77">
        <f t="shared" si="16"/>
        <v>14000</v>
      </c>
      <c r="N224" s="75"/>
      <c r="O224" s="93"/>
      <c r="P224" s="78">
        <f t="shared" si="17"/>
        <v>0</v>
      </c>
      <c r="Q224" s="79"/>
      <c r="R224" s="212"/>
      <c r="S224" s="112"/>
      <c r="T224" s="40"/>
      <c r="U224" s="114"/>
      <c r="V224" s="80"/>
      <c r="W224" s="88"/>
    </row>
    <row r="225" spans="2:23" ht="18" customHeight="1" x14ac:dyDescent="0.3">
      <c r="B225" s="25" t="s">
        <v>455</v>
      </c>
      <c r="C225" s="25"/>
      <c r="D225" s="25"/>
      <c r="E225" s="74"/>
      <c r="F225" s="180"/>
      <c r="G225" s="84"/>
      <c r="H225" s="28"/>
      <c r="I225" s="28"/>
      <c r="J225" s="179"/>
      <c r="K225" s="75"/>
      <c r="L225" s="76"/>
      <c r="M225" s="77"/>
      <c r="N225" s="75"/>
      <c r="O225" s="93">
        <v>2800</v>
      </c>
      <c r="P225" s="78">
        <f t="shared" si="17"/>
        <v>2800</v>
      </c>
      <c r="Q225" s="79">
        <v>2484</v>
      </c>
      <c r="R225" s="212">
        <v>46128</v>
      </c>
      <c r="S225" s="112">
        <v>46146</v>
      </c>
      <c r="T225" s="40"/>
      <c r="U225" s="114"/>
      <c r="V225" s="80"/>
      <c r="W225" s="88"/>
    </row>
    <row r="226" spans="2:23" ht="18" customHeight="1" x14ac:dyDescent="0.3">
      <c r="B226" s="25" t="s">
        <v>456</v>
      </c>
      <c r="C226" s="25"/>
      <c r="D226" s="25"/>
      <c r="E226" s="74"/>
      <c r="F226" s="180" t="s">
        <v>12</v>
      </c>
      <c r="G226" s="84" t="s">
        <v>311</v>
      </c>
      <c r="H226" s="28">
        <v>6229</v>
      </c>
      <c r="I226" s="28" t="s">
        <v>108</v>
      </c>
      <c r="J226" s="179" t="s">
        <v>457</v>
      </c>
      <c r="K226" s="75">
        <v>0</v>
      </c>
      <c r="L226" s="76">
        <v>18000</v>
      </c>
      <c r="M226" s="77">
        <f t="shared" si="16"/>
        <v>18000</v>
      </c>
      <c r="N226" s="75"/>
      <c r="O226" s="93"/>
      <c r="P226" s="78">
        <f t="shared" si="17"/>
        <v>0</v>
      </c>
      <c r="Q226" s="79"/>
      <c r="R226" s="212"/>
      <c r="S226" s="112"/>
      <c r="T226" s="40"/>
      <c r="U226" s="114"/>
      <c r="V226" s="80"/>
      <c r="W226" s="88"/>
    </row>
    <row r="227" spans="2:23" ht="18" customHeight="1" x14ac:dyDescent="0.3">
      <c r="B227" s="25" t="s">
        <v>458</v>
      </c>
      <c r="C227" s="25"/>
      <c r="D227" s="25"/>
      <c r="E227" s="74"/>
      <c r="F227" s="180"/>
      <c r="G227" s="84"/>
      <c r="H227" s="28"/>
      <c r="I227" s="28"/>
      <c r="J227" s="179"/>
      <c r="K227" s="75"/>
      <c r="L227" s="76"/>
      <c r="M227" s="77"/>
      <c r="N227" s="75"/>
      <c r="O227" s="93">
        <v>5100</v>
      </c>
      <c r="P227" s="78">
        <f t="shared" si="17"/>
        <v>5100</v>
      </c>
      <c r="Q227" s="79">
        <v>5100</v>
      </c>
      <c r="R227" s="212">
        <v>46127</v>
      </c>
      <c r="S227" s="112">
        <v>46136</v>
      </c>
      <c r="T227" s="40"/>
      <c r="U227" s="114"/>
      <c r="V227" s="80"/>
      <c r="W227" s="88"/>
    </row>
    <row r="228" spans="2:23" ht="18" customHeight="1" x14ac:dyDescent="0.3">
      <c r="B228" s="25" t="s">
        <v>459</v>
      </c>
      <c r="C228" s="25"/>
      <c r="D228" s="25"/>
      <c r="E228" s="74"/>
      <c r="F228" s="180" t="s">
        <v>12</v>
      </c>
      <c r="G228" s="84" t="s">
        <v>311</v>
      </c>
      <c r="H228" s="28">
        <v>6229</v>
      </c>
      <c r="I228" s="28" t="s">
        <v>108</v>
      </c>
      <c r="J228" s="179" t="s">
        <v>460</v>
      </c>
      <c r="K228" s="75">
        <v>0</v>
      </c>
      <c r="L228" s="76">
        <v>32000</v>
      </c>
      <c r="M228" s="77">
        <f t="shared" si="16"/>
        <v>32000</v>
      </c>
      <c r="N228" s="75"/>
      <c r="O228" s="93">
        <v>32000</v>
      </c>
      <c r="P228" s="78">
        <f t="shared" si="17"/>
        <v>32000</v>
      </c>
      <c r="Q228" s="79"/>
      <c r="R228" s="212">
        <v>46037</v>
      </c>
      <c r="S228" s="112"/>
      <c r="T228" s="40"/>
      <c r="U228" s="114"/>
      <c r="V228" s="80"/>
      <c r="W228" s="88"/>
    </row>
    <row r="229" spans="2:23" ht="18" customHeight="1" x14ac:dyDescent="0.3">
      <c r="B229" s="25" t="s">
        <v>461</v>
      </c>
      <c r="C229" s="25"/>
      <c r="D229" s="25"/>
      <c r="E229" s="74"/>
      <c r="F229" s="180" t="s">
        <v>12</v>
      </c>
      <c r="G229" s="84" t="s">
        <v>311</v>
      </c>
      <c r="H229" s="28">
        <v>6229</v>
      </c>
      <c r="I229" s="28" t="s">
        <v>108</v>
      </c>
      <c r="J229" s="179" t="s">
        <v>462</v>
      </c>
      <c r="K229" s="75">
        <v>0</v>
      </c>
      <c r="L229" s="76">
        <v>10000</v>
      </c>
      <c r="M229" s="77">
        <f t="shared" si="16"/>
        <v>10000</v>
      </c>
      <c r="N229" s="75"/>
      <c r="O229" s="93"/>
      <c r="P229" s="78">
        <f t="shared" si="17"/>
        <v>0</v>
      </c>
      <c r="Q229" s="79"/>
      <c r="R229" s="212"/>
      <c r="S229" s="112"/>
      <c r="T229" s="40"/>
      <c r="U229" s="114"/>
      <c r="V229" s="80"/>
      <c r="W229" s="88"/>
    </row>
    <row r="230" spans="2:23" ht="18" customHeight="1" x14ac:dyDescent="0.3">
      <c r="B230" s="25" t="s">
        <v>463</v>
      </c>
      <c r="C230" s="25"/>
      <c r="D230" s="25"/>
      <c r="E230" s="74"/>
      <c r="F230" s="180"/>
      <c r="G230" s="84"/>
      <c r="H230" s="28"/>
      <c r="I230" s="28"/>
      <c r="J230" s="179"/>
      <c r="K230" s="75"/>
      <c r="L230" s="76"/>
      <c r="M230" s="77"/>
      <c r="N230" s="75"/>
      <c r="O230" s="93">
        <v>1945</v>
      </c>
      <c r="P230" s="78">
        <f t="shared" si="17"/>
        <v>1945</v>
      </c>
      <c r="Q230" s="79">
        <v>1945</v>
      </c>
      <c r="R230" s="212">
        <v>46084</v>
      </c>
      <c r="S230" s="112">
        <v>46104</v>
      </c>
      <c r="T230" s="40"/>
      <c r="U230" s="114"/>
      <c r="V230" s="80"/>
      <c r="W230" s="88"/>
    </row>
    <row r="231" spans="2:23" ht="18" customHeight="1" x14ac:dyDescent="0.3">
      <c r="B231" s="25" t="s">
        <v>464</v>
      </c>
      <c r="C231" s="25"/>
      <c r="D231" s="25"/>
      <c r="E231" s="74"/>
      <c r="F231" s="180"/>
      <c r="G231" s="84"/>
      <c r="H231" s="28"/>
      <c r="I231" s="28"/>
      <c r="J231" s="179"/>
      <c r="K231" s="75"/>
      <c r="L231" s="76"/>
      <c r="M231" s="77"/>
      <c r="N231" s="75"/>
      <c r="O231" s="93">
        <v>7940</v>
      </c>
      <c r="P231" s="78">
        <f t="shared" si="17"/>
        <v>7940</v>
      </c>
      <c r="Q231" s="79">
        <v>7940</v>
      </c>
      <c r="R231" s="212">
        <v>46108</v>
      </c>
      <c r="S231" s="112">
        <v>46136</v>
      </c>
      <c r="T231" s="40"/>
      <c r="U231" s="114"/>
      <c r="V231" s="80"/>
      <c r="W231" s="88"/>
    </row>
    <row r="232" spans="2:23" ht="18" customHeight="1" x14ac:dyDescent="0.3">
      <c r="B232" s="25" t="s">
        <v>465</v>
      </c>
      <c r="C232" s="25"/>
      <c r="D232" s="25"/>
      <c r="E232" s="74"/>
      <c r="F232" s="180" t="s">
        <v>12</v>
      </c>
      <c r="G232" s="84" t="s">
        <v>311</v>
      </c>
      <c r="H232" s="28">
        <v>6229</v>
      </c>
      <c r="I232" s="28" t="s">
        <v>108</v>
      </c>
      <c r="J232" s="179" t="s">
        <v>466</v>
      </c>
      <c r="K232" s="75">
        <v>0</v>
      </c>
      <c r="L232" s="76">
        <v>14000</v>
      </c>
      <c r="M232" s="77">
        <f t="shared" si="16"/>
        <v>14000</v>
      </c>
      <c r="N232" s="75"/>
      <c r="O232" s="93">
        <v>14000</v>
      </c>
      <c r="P232" s="78">
        <f t="shared" si="17"/>
        <v>14000</v>
      </c>
      <c r="Q232" s="79">
        <v>13982</v>
      </c>
      <c r="R232" s="212">
        <v>46030</v>
      </c>
      <c r="S232" s="112">
        <v>46077</v>
      </c>
      <c r="T232" s="40"/>
      <c r="U232" s="114"/>
      <c r="V232" s="80"/>
      <c r="W232" s="88"/>
    </row>
    <row r="233" spans="2:23" ht="18" customHeight="1" x14ac:dyDescent="0.3">
      <c r="B233" s="25" t="s">
        <v>467</v>
      </c>
      <c r="C233" s="25"/>
      <c r="D233" s="25"/>
      <c r="E233" s="74"/>
      <c r="F233" s="180" t="s">
        <v>13</v>
      </c>
      <c r="G233" s="84" t="s">
        <v>311</v>
      </c>
      <c r="H233" s="28">
        <v>6429</v>
      </c>
      <c r="I233" s="28" t="s">
        <v>108</v>
      </c>
      <c r="J233" s="179" t="s">
        <v>468</v>
      </c>
      <c r="K233" s="75">
        <v>0</v>
      </c>
      <c r="L233" s="93">
        <v>15000</v>
      </c>
      <c r="M233" s="77">
        <f t="shared" si="16"/>
        <v>15000</v>
      </c>
      <c r="N233" s="75"/>
      <c r="O233" s="93"/>
      <c r="P233" s="78">
        <f t="shared" si="17"/>
        <v>0</v>
      </c>
      <c r="Q233" s="79"/>
      <c r="R233" s="212"/>
      <c r="S233" s="112"/>
      <c r="T233" s="213" t="s">
        <v>41</v>
      </c>
      <c r="U233" s="113" t="s">
        <v>42</v>
      </c>
      <c r="V233" s="80" t="s">
        <v>435</v>
      </c>
      <c r="W233" s="88" t="s">
        <v>40</v>
      </c>
    </row>
    <row r="234" spans="2:23" ht="18" customHeight="1" x14ac:dyDescent="0.3">
      <c r="B234" s="25" t="s">
        <v>469</v>
      </c>
      <c r="C234" s="25"/>
      <c r="D234" s="25"/>
      <c r="E234" s="74"/>
      <c r="F234" s="180"/>
      <c r="G234" s="84"/>
      <c r="H234" s="28"/>
      <c r="I234" s="28"/>
      <c r="J234" s="179"/>
      <c r="K234" s="75"/>
      <c r="L234" s="93"/>
      <c r="M234" s="77"/>
      <c r="N234" s="75"/>
      <c r="O234" s="93">
        <v>6650</v>
      </c>
      <c r="P234" s="78">
        <f t="shared" si="17"/>
        <v>6650</v>
      </c>
      <c r="Q234" s="79">
        <v>6650</v>
      </c>
      <c r="R234" s="212">
        <v>46049</v>
      </c>
      <c r="S234" s="112">
        <v>46072</v>
      </c>
      <c r="T234" s="213"/>
      <c r="U234" s="113"/>
      <c r="V234" s="80"/>
      <c r="W234" s="88"/>
    </row>
    <row r="235" spans="2:23" ht="18" customHeight="1" x14ac:dyDescent="0.3">
      <c r="B235" s="25" t="s">
        <v>470</v>
      </c>
      <c r="C235" s="25"/>
      <c r="D235" s="25"/>
      <c r="E235" s="74"/>
      <c r="F235" s="180" t="s">
        <v>13</v>
      </c>
      <c r="G235" s="84" t="s">
        <v>311</v>
      </c>
      <c r="H235" s="28">
        <v>6429</v>
      </c>
      <c r="I235" s="28" t="s">
        <v>108</v>
      </c>
      <c r="J235" s="179" t="s">
        <v>471</v>
      </c>
      <c r="K235" s="75">
        <v>0</v>
      </c>
      <c r="L235" s="93">
        <v>40000</v>
      </c>
      <c r="M235" s="77">
        <f t="shared" si="16"/>
        <v>40000</v>
      </c>
      <c r="N235" s="75"/>
      <c r="O235" s="93"/>
      <c r="P235" s="78">
        <f t="shared" si="17"/>
        <v>0</v>
      </c>
      <c r="Q235" s="79"/>
      <c r="R235" s="212"/>
      <c r="S235" s="112"/>
      <c r="T235" s="213" t="s">
        <v>41</v>
      </c>
      <c r="U235" s="113" t="s">
        <v>42</v>
      </c>
      <c r="V235" s="80" t="s">
        <v>435</v>
      </c>
      <c r="W235" s="88" t="s">
        <v>40</v>
      </c>
    </row>
    <row r="236" spans="2:23" ht="18" customHeight="1" x14ac:dyDescent="0.3">
      <c r="B236" s="25" t="s">
        <v>472</v>
      </c>
      <c r="C236" s="25"/>
      <c r="D236" s="25"/>
      <c r="E236" s="74"/>
      <c r="F236" s="180"/>
      <c r="G236" s="84"/>
      <c r="H236" s="28"/>
      <c r="I236" s="28"/>
      <c r="J236" s="179"/>
      <c r="K236" s="75"/>
      <c r="L236" s="93"/>
      <c r="M236" s="77"/>
      <c r="N236" s="75"/>
      <c r="O236" s="93">
        <v>5200</v>
      </c>
      <c r="P236" s="78">
        <f t="shared" si="17"/>
        <v>5200</v>
      </c>
      <c r="Q236" s="79">
        <v>5200</v>
      </c>
      <c r="R236" s="212">
        <v>46084</v>
      </c>
      <c r="S236" s="112">
        <v>46112</v>
      </c>
      <c r="T236" s="213"/>
      <c r="U236" s="113"/>
      <c r="V236" s="80"/>
      <c r="W236" s="88"/>
    </row>
    <row r="237" spans="2:23" ht="18" customHeight="1" x14ac:dyDescent="0.3">
      <c r="B237" s="25" t="s">
        <v>473</v>
      </c>
      <c r="C237" s="25"/>
      <c r="D237" s="25"/>
      <c r="E237" s="74"/>
      <c r="F237" s="180" t="s">
        <v>14</v>
      </c>
      <c r="G237" s="84" t="s">
        <v>311</v>
      </c>
      <c r="H237" s="28">
        <v>6329</v>
      </c>
      <c r="I237" s="28" t="s">
        <v>108</v>
      </c>
      <c r="J237" s="179" t="s">
        <v>474</v>
      </c>
      <c r="K237" s="75">
        <v>0</v>
      </c>
      <c r="L237" s="93">
        <f>'[1]유첨5. 광주공장 투자'!L92</f>
        <v>50000</v>
      </c>
      <c r="M237" s="77">
        <f t="shared" si="16"/>
        <v>50000</v>
      </c>
      <c r="N237" s="75"/>
      <c r="O237" s="93"/>
      <c r="P237" s="78">
        <f t="shared" si="17"/>
        <v>0</v>
      </c>
      <c r="Q237" s="79"/>
      <c r="R237" s="214"/>
      <c r="S237" s="215"/>
      <c r="T237" s="216" t="s">
        <v>41</v>
      </c>
      <c r="U237" s="217" t="s">
        <v>42</v>
      </c>
      <c r="V237" s="196" t="s">
        <v>435</v>
      </c>
      <c r="W237" s="54" t="s">
        <v>40</v>
      </c>
    </row>
    <row r="238" spans="2:23" ht="18" customHeight="1" x14ac:dyDescent="0.3">
      <c r="B238" s="25" t="s">
        <v>475</v>
      </c>
      <c r="C238" s="25"/>
      <c r="D238" s="25"/>
      <c r="E238" s="74"/>
      <c r="F238" s="180" t="s">
        <v>74</v>
      </c>
      <c r="G238" s="84" t="s">
        <v>311</v>
      </c>
      <c r="H238" s="28"/>
      <c r="I238" s="218"/>
      <c r="J238" s="179" t="s">
        <v>476</v>
      </c>
      <c r="K238" s="75"/>
      <c r="L238" s="98">
        <v>30000</v>
      </c>
      <c r="M238" s="77">
        <f t="shared" si="16"/>
        <v>30000</v>
      </c>
      <c r="N238" s="75"/>
      <c r="O238" s="98"/>
      <c r="P238" s="78"/>
      <c r="Q238" s="79"/>
      <c r="R238" s="214"/>
      <c r="S238" s="215"/>
      <c r="T238" s="216"/>
      <c r="U238" s="219"/>
      <c r="V238" s="196"/>
      <c r="W238" s="197"/>
    </row>
    <row r="239" spans="2:23" ht="18" customHeight="1" x14ac:dyDescent="0.3">
      <c r="B239" s="301" t="s">
        <v>477</v>
      </c>
      <c r="C239" s="301"/>
      <c r="D239" s="301"/>
      <c r="E239" s="301"/>
      <c r="F239" s="220" t="s">
        <v>40</v>
      </c>
      <c r="G239" s="60" t="s">
        <v>49</v>
      </c>
      <c r="H239" s="61"/>
      <c r="I239" s="62"/>
      <c r="J239" s="63"/>
      <c r="K239" s="64">
        <f>SUM(K211:K238)</f>
        <v>80000</v>
      </c>
      <c r="L239" s="65">
        <f>SUM(L211:L238)</f>
        <v>341000</v>
      </c>
      <c r="M239" s="66">
        <f>SUM(M211:M238)</f>
        <v>421000</v>
      </c>
      <c r="N239" s="64">
        <f>SUM(N211:N237)</f>
        <v>0</v>
      </c>
      <c r="O239" s="65">
        <f>SUM(O211:O238)</f>
        <v>135135</v>
      </c>
      <c r="P239" s="65">
        <f>SUM(P211:P238)</f>
        <v>135135</v>
      </c>
      <c r="Q239" s="65">
        <f>SUM(Q211:Q238)</f>
        <v>51801</v>
      </c>
      <c r="R239" s="65"/>
      <c r="S239" s="209"/>
      <c r="T239" s="221" t="s">
        <v>49</v>
      </c>
      <c r="U239" s="209" t="s">
        <v>40</v>
      </c>
      <c r="V239" s="222" t="s">
        <v>49</v>
      </c>
      <c r="W239" s="223" t="s">
        <v>49</v>
      </c>
    </row>
    <row r="240" spans="2:23" ht="18" customHeight="1" x14ac:dyDescent="0.3">
      <c r="B240" s="25" t="s">
        <v>478</v>
      </c>
      <c r="C240" s="25"/>
      <c r="D240" s="25"/>
      <c r="E240" s="74"/>
      <c r="F240" s="176" t="s">
        <v>10</v>
      </c>
      <c r="G240" s="84" t="s">
        <v>79</v>
      </c>
      <c r="H240" s="177">
        <v>6061</v>
      </c>
      <c r="I240" s="178" t="s">
        <v>55</v>
      </c>
      <c r="J240" s="179" t="s">
        <v>479</v>
      </c>
      <c r="K240" s="75">
        <v>1500000</v>
      </c>
      <c r="L240" s="93">
        <v>0</v>
      </c>
      <c r="M240" s="77">
        <f t="shared" si="16"/>
        <v>1500000</v>
      </c>
      <c r="N240" s="75"/>
      <c r="O240" s="93"/>
      <c r="P240" s="78">
        <f t="shared" ref="P240:P259" si="18">SUM(N240:O240)</f>
        <v>0</v>
      </c>
      <c r="Q240" s="79"/>
      <c r="R240" s="36"/>
      <c r="S240" s="37"/>
      <c r="T240" s="224" t="s">
        <v>41</v>
      </c>
      <c r="U240" s="224" t="s">
        <v>42</v>
      </c>
      <c r="V240" s="80" t="s">
        <v>146</v>
      </c>
      <c r="W240" s="41" t="s">
        <v>49</v>
      </c>
    </row>
    <row r="241" spans="2:24" ht="18" customHeight="1" x14ac:dyDescent="0.3">
      <c r="B241" s="25" t="s">
        <v>480</v>
      </c>
      <c r="C241" s="25"/>
      <c r="D241" s="25"/>
      <c r="E241" s="74"/>
      <c r="F241" s="176" t="s">
        <v>184</v>
      </c>
      <c r="G241" s="84" t="s">
        <v>311</v>
      </c>
      <c r="H241" s="177"/>
      <c r="I241" s="178"/>
      <c r="J241" s="179" t="s">
        <v>481</v>
      </c>
      <c r="K241" s="75"/>
      <c r="L241" s="93"/>
      <c r="M241" s="77"/>
      <c r="N241" s="75">
        <v>67500</v>
      </c>
      <c r="O241" s="93"/>
      <c r="P241" s="78">
        <f t="shared" si="18"/>
        <v>67500</v>
      </c>
      <c r="Q241" s="79"/>
      <c r="R241" s="225">
        <v>46094</v>
      </c>
      <c r="S241" s="37"/>
      <c r="T241" s="224"/>
      <c r="U241" s="224"/>
      <c r="V241" s="80"/>
      <c r="W241" s="41"/>
    </row>
    <row r="242" spans="2:24" s="306" customFormat="1" ht="18" customHeight="1" x14ac:dyDescent="0.3">
      <c r="B242" s="307" t="s">
        <v>482</v>
      </c>
      <c r="C242" s="307"/>
      <c r="D242" s="307"/>
      <c r="E242" s="332"/>
      <c r="F242" s="176" t="s">
        <v>94</v>
      </c>
      <c r="G242" s="323" t="s">
        <v>311</v>
      </c>
      <c r="H242" s="324"/>
      <c r="I242" s="325"/>
      <c r="J242" s="326" t="s">
        <v>483</v>
      </c>
      <c r="K242" s="312"/>
      <c r="L242" s="333"/>
      <c r="M242" s="314"/>
      <c r="N242" s="312">
        <v>121600</v>
      </c>
      <c r="O242" s="333"/>
      <c r="P242" s="315">
        <f t="shared" si="18"/>
        <v>121600</v>
      </c>
      <c r="Q242" s="316"/>
      <c r="R242" s="349">
        <v>46107</v>
      </c>
      <c r="S242" s="335"/>
      <c r="T242" s="336"/>
      <c r="U242" s="336"/>
      <c r="V242" s="320"/>
      <c r="W242" s="337"/>
    </row>
    <row r="243" spans="2:24" ht="18" customHeight="1" x14ac:dyDescent="0.3">
      <c r="B243" s="25" t="s">
        <v>484</v>
      </c>
      <c r="C243" s="25"/>
      <c r="D243" s="25"/>
      <c r="E243" s="74"/>
      <c r="F243" s="176" t="s">
        <v>485</v>
      </c>
      <c r="G243" s="84" t="s">
        <v>79</v>
      </c>
      <c r="H243" s="177">
        <v>6061</v>
      </c>
      <c r="I243" s="178" t="s">
        <v>55</v>
      </c>
      <c r="J243" s="179" t="s">
        <v>486</v>
      </c>
      <c r="K243" s="75">
        <v>2000000</v>
      </c>
      <c r="L243" s="93">
        <v>0</v>
      </c>
      <c r="M243" s="77">
        <f t="shared" si="16"/>
        <v>2000000</v>
      </c>
      <c r="N243" s="75"/>
      <c r="O243" s="93"/>
      <c r="P243" s="78">
        <f t="shared" si="18"/>
        <v>0</v>
      </c>
      <c r="Q243" s="79"/>
      <c r="R243" s="36"/>
      <c r="S243" s="37"/>
      <c r="T243" s="224" t="s">
        <v>41</v>
      </c>
      <c r="U243" s="224" t="s">
        <v>42</v>
      </c>
      <c r="V243" s="80" t="s">
        <v>146</v>
      </c>
      <c r="W243" s="41" t="s">
        <v>49</v>
      </c>
    </row>
    <row r="244" spans="2:24" ht="18" customHeight="1" x14ac:dyDescent="0.3">
      <c r="B244" s="89" t="s">
        <v>487</v>
      </c>
      <c r="C244" s="25"/>
      <c r="D244" s="89"/>
      <c r="E244" s="25"/>
      <c r="F244" s="176" t="s">
        <v>485</v>
      </c>
      <c r="G244" s="84" t="s">
        <v>79</v>
      </c>
      <c r="H244" s="177">
        <v>6061</v>
      </c>
      <c r="I244" s="178" t="s">
        <v>55</v>
      </c>
      <c r="J244" s="179" t="s">
        <v>488</v>
      </c>
      <c r="K244" s="75">
        <v>3000000</v>
      </c>
      <c r="L244" s="93">
        <v>0</v>
      </c>
      <c r="M244" s="77">
        <f t="shared" si="16"/>
        <v>3000000</v>
      </c>
      <c r="N244" s="75"/>
      <c r="O244" s="93"/>
      <c r="P244" s="78">
        <f t="shared" si="18"/>
        <v>0</v>
      </c>
      <c r="Q244" s="79"/>
      <c r="R244" s="226"/>
      <c r="S244" s="37"/>
      <c r="T244" s="224" t="s">
        <v>41</v>
      </c>
      <c r="U244" s="224" t="s">
        <v>42</v>
      </c>
      <c r="V244" s="227" t="s">
        <v>83</v>
      </c>
      <c r="W244" s="175" t="s">
        <v>49</v>
      </c>
    </row>
    <row r="245" spans="2:24" ht="18" customHeight="1" x14ac:dyDescent="0.3">
      <c r="B245" s="89" t="s">
        <v>489</v>
      </c>
      <c r="C245" s="25"/>
      <c r="D245" s="89"/>
      <c r="E245" s="25"/>
      <c r="F245" s="176" t="s">
        <v>485</v>
      </c>
      <c r="G245" s="84" t="s">
        <v>79</v>
      </c>
      <c r="H245" s="177">
        <v>6061</v>
      </c>
      <c r="I245" s="178" t="s">
        <v>55</v>
      </c>
      <c r="J245" s="179" t="s">
        <v>490</v>
      </c>
      <c r="K245" s="75">
        <v>1500000</v>
      </c>
      <c r="L245" s="93">
        <v>0</v>
      </c>
      <c r="M245" s="77">
        <f t="shared" si="16"/>
        <v>1500000</v>
      </c>
      <c r="N245" s="75"/>
      <c r="O245" s="93"/>
      <c r="P245" s="78">
        <f t="shared" si="18"/>
        <v>0</v>
      </c>
      <c r="Q245" s="79"/>
      <c r="R245" s="226"/>
      <c r="S245" s="37"/>
      <c r="T245" s="224" t="s">
        <v>41</v>
      </c>
      <c r="U245" s="224" t="s">
        <v>42</v>
      </c>
      <c r="V245" s="227" t="s">
        <v>83</v>
      </c>
      <c r="W245" s="175" t="s">
        <v>49</v>
      </c>
    </row>
    <row r="246" spans="2:24" ht="18" customHeight="1" x14ac:dyDescent="0.3">
      <c r="B246" s="89" t="s">
        <v>491</v>
      </c>
      <c r="C246" s="25"/>
      <c r="D246" s="89"/>
      <c r="E246" s="25"/>
      <c r="F246" s="176" t="s">
        <v>485</v>
      </c>
      <c r="G246" s="84" t="s">
        <v>79</v>
      </c>
      <c r="H246" s="177">
        <v>6061</v>
      </c>
      <c r="I246" s="178" t="s">
        <v>55</v>
      </c>
      <c r="J246" s="179" t="s">
        <v>492</v>
      </c>
      <c r="K246" s="75">
        <v>1000000</v>
      </c>
      <c r="L246" s="93">
        <v>0</v>
      </c>
      <c r="M246" s="77">
        <f t="shared" si="16"/>
        <v>1000000</v>
      </c>
      <c r="N246" s="75"/>
      <c r="O246" s="93"/>
      <c r="P246" s="78">
        <f t="shared" si="18"/>
        <v>0</v>
      </c>
      <c r="Q246" s="79"/>
      <c r="R246" s="226"/>
      <c r="S246" s="37"/>
      <c r="T246" s="224" t="s">
        <v>41</v>
      </c>
      <c r="U246" s="224" t="s">
        <v>42</v>
      </c>
      <c r="V246" s="227" t="s">
        <v>83</v>
      </c>
      <c r="W246" s="175" t="s">
        <v>49</v>
      </c>
    </row>
    <row r="247" spans="2:24" s="306" customFormat="1" ht="18" customHeight="1" x14ac:dyDescent="0.3">
      <c r="B247" s="341" t="s">
        <v>493</v>
      </c>
      <c r="C247" s="307"/>
      <c r="D247" s="341"/>
      <c r="E247" s="307"/>
      <c r="F247" s="176" t="s">
        <v>184</v>
      </c>
      <c r="G247" s="323" t="s">
        <v>75</v>
      </c>
      <c r="H247" s="324"/>
      <c r="I247" s="325"/>
      <c r="J247" s="326" t="s">
        <v>494</v>
      </c>
      <c r="K247" s="312"/>
      <c r="L247" s="333"/>
      <c r="M247" s="314"/>
      <c r="N247" s="312">
        <v>320000</v>
      </c>
      <c r="O247" s="333"/>
      <c r="P247" s="315">
        <f t="shared" si="18"/>
        <v>320000</v>
      </c>
      <c r="Q247" s="316"/>
      <c r="R247" s="342">
        <v>45989</v>
      </c>
      <c r="S247" s="335"/>
      <c r="T247" s="336"/>
      <c r="U247" s="336"/>
      <c r="V247" s="343"/>
      <c r="W247" s="344"/>
      <c r="X247" s="306" t="s">
        <v>60</v>
      </c>
    </row>
    <row r="248" spans="2:24" ht="18" customHeight="1" x14ac:dyDescent="0.3">
      <c r="B248" s="89" t="s">
        <v>495</v>
      </c>
      <c r="C248" s="25"/>
      <c r="D248" s="89"/>
      <c r="E248" s="25"/>
      <c r="F248" s="176" t="s">
        <v>485</v>
      </c>
      <c r="G248" s="84" t="s">
        <v>79</v>
      </c>
      <c r="H248" s="177">
        <v>6061</v>
      </c>
      <c r="I248" s="178" t="s">
        <v>55</v>
      </c>
      <c r="J248" s="179" t="s">
        <v>496</v>
      </c>
      <c r="K248" s="75">
        <v>1000000</v>
      </c>
      <c r="L248" s="93">
        <v>0</v>
      </c>
      <c r="M248" s="77">
        <f t="shared" si="16"/>
        <v>1000000</v>
      </c>
      <c r="N248" s="75"/>
      <c r="O248" s="93"/>
      <c r="P248" s="78">
        <f t="shared" si="18"/>
        <v>0</v>
      </c>
      <c r="Q248" s="79"/>
      <c r="R248" s="226"/>
      <c r="S248" s="37"/>
      <c r="T248" s="224" t="s">
        <v>41</v>
      </c>
      <c r="U248" s="224" t="s">
        <v>42</v>
      </c>
      <c r="V248" s="227" t="s">
        <v>83</v>
      </c>
      <c r="W248" s="175" t="s">
        <v>49</v>
      </c>
    </row>
    <row r="249" spans="2:24" s="306" customFormat="1" ht="18" customHeight="1" x14ac:dyDescent="0.3">
      <c r="B249" s="341" t="s">
        <v>497</v>
      </c>
      <c r="C249" s="307"/>
      <c r="D249" s="341"/>
      <c r="E249" s="307"/>
      <c r="F249" s="176" t="s">
        <v>94</v>
      </c>
      <c r="G249" s="323" t="s">
        <v>311</v>
      </c>
      <c r="H249" s="324"/>
      <c r="I249" s="325"/>
      <c r="J249" s="326" t="s">
        <v>498</v>
      </c>
      <c r="K249" s="312"/>
      <c r="L249" s="333"/>
      <c r="M249" s="314"/>
      <c r="N249" s="312">
        <v>139300</v>
      </c>
      <c r="O249" s="333"/>
      <c r="P249" s="315">
        <f t="shared" si="18"/>
        <v>139300</v>
      </c>
      <c r="Q249" s="316"/>
      <c r="R249" s="342">
        <v>46056</v>
      </c>
      <c r="S249" s="335"/>
      <c r="T249" s="336"/>
      <c r="U249" s="348"/>
      <c r="V249" s="343"/>
      <c r="W249" s="344"/>
    </row>
    <row r="250" spans="2:24" ht="18" customHeight="1" x14ac:dyDescent="0.3">
      <c r="B250" s="89" t="s">
        <v>499</v>
      </c>
      <c r="C250" s="25"/>
      <c r="D250" s="89"/>
      <c r="E250" s="25"/>
      <c r="F250" s="176" t="s">
        <v>485</v>
      </c>
      <c r="G250" s="84" t="s">
        <v>79</v>
      </c>
      <c r="H250" s="177">
        <v>6061</v>
      </c>
      <c r="I250" s="178" t="s">
        <v>55</v>
      </c>
      <c r="J250" s="179" t="s">
        <v>500</v>
      </c>
      <c r="K250" s="75">
        <v>500000</v>
      </c>
      <c r="L250" s="93">
        <v>0</v>
      </c>
      <c r="M250" s="77">
        <f t="shared" si="16"/>
        <v>500000</v>
      </c>
      <c r="N250" s="75"/>
      <c r="O250" s="93"/>
      <c r="P250" s="78">
        <f t="shared" si="18"/>
        <v>0</v>
      </c>
      <c r="Q250" s="79"/>
      <c r="R250" s="226"/>
      <c r="S250" s="37"/>
      <c r="T250" s="224" t="s">
        <v>41</v>
      </c>
      <c r="U250" s="39" t="s">
        <v>42</v>
      </c>
      <c r="V250" s="227" t="s">
        <v>83</v>
      </c>
      <c r="W250" s="175" t="s">
        <v>49</v>
      </c>
    </row>
    <row r="251" spans="2:24" ht="18" customHeight="1" x14ac:dyDescent="0.3">
      <c r="B251" s="89" t="s">
        <v>501</v>
      </c>
      <c r="C251" s="25"/>
      <c r="D251" s="89"/>
      <c r="E251" s="25"/>
      <c r="F251" s="176" t="s">
        <v>485</v>
      </c>
      <c r="G251" s="84" t="s">
        <v>79</v>
      </c>
      <c r="H251" s="177">
        <v>6061</v>
      </c>
      <c r="I251" s="178" t="s">
        <v>55</v>
      </c>
      <c r="J251" s="179" t="s">
        <v>502</v>
      </c>
      <c r="K251" s="75">
        <v>500000</v>
      </c>
      <c r="L251" s="93">
        <v>0</v>
      </c>
      <c r="M251" s="77">
        <f t="shared" si="16"/>
        <v>500000</v>
      </c>
      <c r="N251" s="75"/>
      <c r="O251" s="93"/>
      <c r="P251" s="78">
        <f t="shared" si="18"/>
        <v>0</v>
      </c>
      <c r="Q251" s="79"/>
      <c r="R251" s="226"/>
      <c r="S251" s="37"/>
      <c r="T251" s="224" t="s">
        <v>41</v>
      </c>
      <c r="U251" s="39" t="s">
        <v>42</v>
      </c>
      <c r="V251" s="227" t="s">
        <v>83</v>
      </c>
      <c r="W251" s="175" t="s">
        <v>49</v>
      </c>
    </row>
    <row r="252" spans="2:24" ht="18" customHeight="1" x14ac:dyDescent="0.3">
      <c r="B252" s="89" t="s">
        <v>503</v>
      </c>
      <c r="C252" s="25"/>
      <c r="D252" s="89"/>
      <c r="E252" s="25"/>
      <c r="F252" s="176" t="s">
        <v>361</v>
      </c>
      <c r="G252" s="84" t="s">
        <v>85</v>
      </c>
      <c r="H252" s="177"/>
      <c r="I252" s="178"/>
      <c r="J252" s="179" t="s">
        <v>504</v>
      </c>
      <c r="K252" s="75"/>
      <c r="L252" s="98"/>
      <c r="M252" s="77">
        <f t="shared" si="16"/>
        <v>0</v>
      </c>
      <c r="N252" s="75">
        <v>25000</v>
      </c>
      <c r="O252" s="98"/>
      <c r="P252" s="78">
        <f t="shared" si="18"/>
        <v>25000</v>
      </c>
      <c r="Q252" s="79"/>
      <c r="R252" s="228">
        <v>45915</v>
      </c>
      <c r="S252" s="37"/>
      <c r="T252" s="229"/>
      <c r="U252" s="39"/>
      <c r="V252" s="227"/>
      <c r="W252" s="175"/>
      <c r="X252" s="3" t="s">
        <v>60</v>
      </c>
    </row>
    <row r="253" spans="2:24" ht="18" customHeight="1" x14ac:dyDescent="0.3">
      <c r="B253" s="89" t="s">
        <v>505</v>
      </c>
      <c r="C253" s="25"/>
      <c r="D253" s="89"/>
      <c r="E253" s="25"/>
      <c r="F253" s="176" t="s">
        <v>94</v>
      </c>
      <c r="G253" s="84" t="s">
        <v>506</v>
      </c>
      <c r="H253" s="177"/>
      <c r="I253" s="178"/>
      <c r="J253" s="179" t="s">
        <v>507</v>
      </c>
      <c r="K253" s="75"/>
      <c r="L253" s="98"/>
      <c r="M253" s="77">
        <f t="shared" si="16"/>
        <v>0</v>
      </c>
      <c r="N253" s="75">
        <v>46000</v>
      </c>
      <c r="O253" s="98"/>
      <c r="P253" s="78">
        <f t="shared" si="18"/>
        <v>46000</v>
      </c>
      <c r="Q253" s="79"/>
      <c r="R253" s="228">
        <v>45915</v>
      </c>
      <c r="S253" s="37"/>
      <c r="T253" s="229"/>
      <c r="U253" s="39"/>
      <c r="V253" s="227"/>
      <c r="W253" s="175"/>
      <c r="X253" s="3" t="s">
        <v>60</v>
      </c>
    </row>
    <row r="254" spans="2:24" ht="18" customHeight="1" x14ac:dyDescent="0.3">
      <c r="B254" s="89" t="s">
        <v>508</v>
      </c>
      <c r="C254" s="25"/>
      <c r="D254" s="89"/>
      <c r="E254" s="25"/>
      <c r="F254" s="176" t="s">
        <v>94</v>
      </c>
      <c r="G254" s="84" t="s">
        <v>89</v>
      </c>
      <c r="H254" s="177"/>
      <c r="I254" s="178"/>
      <c r="J254" s="179" t="s">
        <v>509</v>
      </c>
      <c r="K254" s="75"/>
      <c r="L254" s="98"/>
      <c r="M254" s="77">
        <f t="shared" si="16"/>
        <v>0</v>
      </c>
      <c r="N254" s="75">
        <v>32000</v>
      </c>
      <c r="O254" s="98"/>
      <c r="P254" s="78">
        <f t="shared" si="18"/>
        <v>32000</v>
      </c>
      <c r="Q254" s="79"/>
      <c r="R254" s="228">
        <v>45915</v>
      </c>
      <c r="S254" s="37"/>
      <c r="T254" s="229"/>
      <c r="U254" s="39"/>
      <c r="V254" s="227"/>
      <c r="W254" s="175"/>
      <c r="X254" s="3" t="s">
        <v>60</v>
      </c>
    </row>
    <row r="255" spans="2:24" ht="18" customHeight="1" x14ac:dyDescent="0.3">
      <c r="B255" s="89" t="s">
        <v>510</v>
      </c>
      <c r="C255" s="25"/>
      <c r="D255" s="89"/>
      <c r="E255" s="25"/>
      <c r="F255" s="176" t="s">
        <v>361</v>
      </c>
      <c r="G255" s="84" t="s">
        <v>185</v>
      </c>
      <c r="H255" s="177"/>
      <c r="I255" s="178"/>
      <c r="J255" s="179" t="s">
        <v>511</v>
      </c>
      <c r="K255" s="75"/>
      <c r="L255" s="98"/>
      <c r="M255" s="77">
        <f t="shared" si="16"/>
        <v>0</v>
      </c>
      <c r="N255" s="75">
        <v>130072</v>
      </c>
      <c r="O255" s="98"/>
      <c r="P255" s="78">
        <f t="shared" si="18"/>
        <v>130072</v>
      </c>
      <c r="Q255" s="79"/>
      <c r="R255" s="228">
        <v>46099</v>
      </c>
      <c r="S255" s="37"/>
      <c r="T255" s="229"/>
      <c r="U255" s="39"/>
      <c r="V255" s="227"/>
      <c r="W255" s="175"/>
    </row>
    <row r="256" spans="2:24" s="306" customFormat="1" ht="18" customHeight="1" x14ac:dyDescent="0.3">
      <c r="B256" s="341" t="s">
        <v>512</v>
      </c>
      <c r="C256" s="307"/>
      <c r="D256" s="341"/>
      <c r="E256" s="307"/>
      <c r="F256" s="176" t="s">
        <v>12</v>
      </c>
      <c r="G256" s="323" t="s">
        <v>185</v>
      </c>
      <c r="H256" s="324"/>
      <c r="I256" s="325"/>
      <c r="J256" s="326" t="s">
        <v>513</v>
      </c>
      <c r="K256" s="312"/>
      <c r="L256" s="327"/>
      <c r="M256" s="314">
        <f t="shared" si="16"/>
        <v>0</v>
      </c>
      <c r="N256" s="312">
        <v>62082</v>
      </c>
      <c r="O256" s="327"/>
      <c r="P256" s="315">
        <f t="shared" si="18"/>
        <v>62082</v>
      </c>
      <c r="Q256" s="316"/>
      <c r="R256" s="342">
        <v>46099</v>
      </c>
      <c r="S256" s="335"/>
      <c r="T256" s="346"/>
      <c r="U256" s="347"/>
      <c r="V256" s="343"/>
      <c r="W256" s="344"/>
    </row>
    <row r="257" spans="2:24" ht="18" customHeight="1" x14ac:dyDescent="0.3">
      <c r="B257" s="89" t="s">
        <v>514</v>
      </c>
      <c r="C257" s="25"/>
      <c r="D257" s="89"/>
      <c r="E257" s="25"/>
      <c r="F257" s="176" t="s">
        <v>13</v>
      </c>
      <c r="G257" s="84" t="s">
        <v>89</v>
      </c>
      <c r="H257" s="177"/>
      <c r="I257" s="178"/>
      <c r="J257" s="179" t="s">
        <v>515</v>
      </c>
      <c r="K257" s="75"/>
      <c r="L257" s="98"/>
      <c r="M257" s="77">
        <f t="shared" si="16"/>
        <v>0</v>
      </c>
      <c r="N257" s="75">
        <v>27846</v>
      </c>
      <c r="O257" s="98"/>
      <c r="P257" s="78">
        <f t="shared" si="18"/>
        <v>27846</v>
      </c>
      <c r="Q257" s="79"/>
      <c r="R257" s="228">
        <v>46099</v>
      </c>
      <c r="S257" s="37"/>
      <c r="T257" s="229"/>
      <c r="U257" s="39"/>
      <c r="V257" s="227"/>
      <c r="W257" s="175"/>
    </row>
    <row r="258" spans="2:24" ht="18" customHeight="1" x14ac:dyDescent="0.3">
      <c r="B258" s="89" t="s">
        <v>516</v>
      </c>
      <c r="C258" s="25"/>
      <c r="D258" s="89"/>
      <c r="E258" s="25"/>
      <c r="F258" s="176" t="s">
        <v>74</v>
      </c>
      <c r="G258" s="84" t="s">
        <v>311</v>
      </c>
      <c r="H258" s="177"/>
      <c r="I258" s="178"/>
      <c r="J258" s="179" t="s">
        <v>517</v>
      </c>
      <c r="K258" s="75">
        <v>550000</v>
      </c>
      <c r="L258" s="98"/>
      <c r="M258" s="77">
        <f t="shared" si="16"/>
        <v>550000</v>
      </c>
      <c r="N258" s="75"/>
      <c r="O258" s="98"/>
      <c r="P258" s="78"/>
      <c r="Q258" s="79"/>
      <c r="R258" s="228"/>
      <c r="S258" s="37"/>
      <c r="T258" s="229"/>
      <c r="U258" s="39"/>
      <c r="V258" s="227"/>
      <c r="W258" s="175"/>
    </row>
    <row r="259" spans="2:24" ht="18" customHeight="1" x14ac:dyDescent="0.3">
      <c r="B259" s="89" t="s">
        <v>518</v>
      </c>
      <c r="C259" s="25"/>
      <c r="D259" s="89"/>
      <c r="E259" s="25"/>
      <c r="F259" s="176"/>
      <c r="G259" s="84"/>
      <c r="H259" s="177"/>
      <c r="I259" s="178"/>
      <c r="J259" s="179"/>
      <c r="K259" s="75"/>
      <c r="L259" s="98"/>
      <c r="M259" s="77"/>
      <c r="N259" s="75">
        <v>23300</v>
      </c>
      <c r="O259" s="98"/>
      <c r="P259" s="78">
        <f t="shared" si="18"/>
        <v>23300</v>
      </c>
      <c r="Q259" s="79">
        <v>23300</v>
      </c>
      <c r="R259" s="228">
        <v>46107</v>
      </c>
      <c r="S259" s="230">
        <v>46140</v>
      </c>
      <c r="T259" s="229"/>
      <c r="U259" s="39"/>
      <c r="V259" s="227"/>
      <c r="W259" s="175"/>
    </row>
    <row r="260" spans="2:24" ht="18" customHeight="1" x14ac:dyDescent="0.3">
      <c r="B260" s="89" t="s">
        <v>519</v>
      </c>
      <c r="C260" s="25"/>
      <c r="D260" s="89"/>
      <c r="E260" s="25"/>
      <c r="F260" s="176" t="s">
        <v>74</v>
      </c>
      <c r="G260" s="84" t="s">
        <v>311</v>
      </c>
      <c r="H260" s="177"/>
      <c r="I260" s="178"/>
      <c r="J260" s="179" t="s">
        <v>520</v>
      </c>
      <c r="K260" s="75">
        <v>250000</v>
      </c>
      <c r="L260" s="98"/>
      <c r="M260" s="77">
        <f t="shared" si="16"/>
        <v>250000</v>
      </c>
      <c r="N260" s="75"/>
      <c r="O260" s="98"/>
      <c r="P260" s="78"/>
      <c r="Q260" s="79"/>
      <c r="R260" s="228"/>
      <c r="S260" s="37"/>
      <c r="T260" s="229"/>
      <c r="U260" s="39"/>
      <c r="V260" s="227"/>
      <c r="W260" s="175"/>
    </row>
    <row r="261" spans="2:24" ht="18" customHeight="1" x14ac:dyDescent="0.3">
      <c r="B261" s="89" t="s">
        <v>521</v>
      </c>
      <c r="C261" s="25"/>
      <c r="D261" s="89"/>
      <c r="E261" s="25"/>
      <c r="F261" s="176" t="s">
        <v>74</v>
      </c>
      <c r="G261" s="84" t="s">
        <v>311</v>
      </c>
      <c r="H261" s="177"/>
      <c r="I261" s="178"/>
      <c r="J261" s="179" t="s">
        <v>522</v>
      </c>
      <c r="K261" s="75">
        <v>100000</v>
      </c>
      <c r="L261" s="98"/>
      <c r="M261" s="77">
        <f t="shared" si="16"/>
        <v>100000</v>
      </c>
      <c r="N261" s="75"/>
      <c r="O261" s="98"/>
      <c r="P261" s="78"/>
      <c r="Q261" s="79"/>
      <c r="R261" s="228"/>
      <c r="S261" s="37"/>
      <c r="T261" s="229"/>
      <c r="U261" s="39"/>
      <c r="V261" s="227"/>
      <c r="W261" s="175"/>
    </row>
    <row r="262" spans="2:24" ht="18" customHeight="1" x14ac:dyDescent="0.3">
      <c r="B262" s="89"/>
      <c r="C262" s="25"/>
      <c r="D262" s="89"/>
      <c r="E262" s="25"/>
      <c r="F262" s="176"/>
      <c r="G262" s="84"/>
      <c r="H262" s="177"/>
      <c r="I262" s="178"/>
      <c r="J262" s="179"/>
      <c r="K262" s="75"/>
      <c r="L262" s="98"/>
      <c r="M262" s="77"/>
      <c r="N262" s="75"/>
      <c r="O262" s="98"/>
      <c r="P262" s="78"/>
      <c r="Q262" s="79"/>
      <c r="R262" s="226"/>
      <c r="S262" s="37"/>
      <c r="T262" s="229"/>
      <c r="U262" s="39"/>
      <c r="V262" s="227"/>
      <c r="W262" s="175"/>
    </row>
    <row r="263" spans="2:24" ht="18" customHeight="1" thickBot="1" x14ac:dyDescent="0.35">
      <c r="B263" s="302" t="s">
        <v>523</v>
      </c>
      <c r="C263" s="302"/>
      <c r="D263" s="302"/>
      <c r="E263" s="302"/>
      <c r="F263" s="231" t="s">
        <v>40</v>
      </c>
      <c r="G263" s="232" t="s">
        <v>49</v>
      </c>
      <c r="H263" s="233"/>
      <c r="I263" s="234"/>
      <c r="J263" s="235"/>
      <c r="K263" s="236">
        <f t="shared" ref="K263:Q263" si="19">SUM(K240:K262)</f>
        <v>11900000</v>
      </c>
      <c r="L263" s="237">
        <f t="shared" si="19"/>
        <v>0</v>
      </c>
      <c r="M263" s="238">
        <f t="shared" si="19"/>
        <v>11900000</v>
      </c>
      <c r="N263" s="236">
        <f t="shared" si="19"/>
        <v>994700</v>
      </c>
      <c r="O263" s="237">
        <f t="shared" si="19"/>
        <v>0</v>
      </c>
      <c r="P263" s="239">
        <f t="shared" si="19"/>
        <v>994700</v>
      </c>
      <c r="Q263" s="240">
        <f t="shared" si="19"/>
        <v>23300</v>
      </c>
      <c r="R263" s="241" t="s">
        <v>49</v>
      </c>
      <c r="S263" s="242" t="s">
        <v>40</v>
      </c>
      <c r="T263" s="243" t="s">
        <v>49</v>
      </c>
      <c r="U263" s="242" t="s">
        <v>40</v>
      </c>
      <c r="V263" s="244" t="s">
        <v>49</v>
      </c>
      <c r="W263" s="245" t="s">
        <v>49</v>
      </c>
    </row>
    <row r="264" spans="2:24" ht="18" customHeight="1" x14ac:dyDescent="0.3">
      <c r="B264" s="25" t="s">
        <v>524</v>
      </c>
      <c r="C264" s="25"/>
      <c r="D264" s="25"/>
      <c r="E264" s="74"/>
      <c r="F264" s="176" t="s">
        <v>525</v>
      </c>
      <c r="G264" s="84" t="s">
        <v>75</v>
      </c>
      <c r="H264" s="177">
        <v>6061</v>
      </c>
      <c r="I264" s="178" t="s">
        <v>55</v>
      </c>
      <c r="J264" s="179" t="s">
        <v>526</v>
      </c>
      <c r="K264" s="75"/>
      <c r="L264" s="93">
        <v>0</v>
      </c>
      <c r="M264" s="77">
        <f t="shared" ref="M264:M291" si="20">SUM(K264:L264)</f>
        <v>0</v>
      </c>
      <c r="N264" s="75"/>
      <c r="O264" s="93"/>
      <c r="P264" s="78">
        <f t="shared" ref="P264:P291" si="21">SUM(N264:O264)</f>
        <v>0</v>
      </c>
      <c r="Q264" s="79"/>
      <c r="R264" s="36"/>
      <c r="S264" s="37"/>
      <c r="T264" s="224"/>
      <c r="U264" s="224"/>
      <c r="V264" s="80"/>
      <c r="W264" s="41" t="s">
        <v>49</v>
      </c>
    </row>
    <row r="265" spans="2:24" ht="18" customHeight="1" x14ac:dyDescent="0.3">
      <c r="B265" s="25" t="s">
        <v>527</v>
      </c>
      <c r="C265" s="25"/>
      <c r="D265" s="25"/>
      <c r="E265" s="74"/>
      <c r="F265" s="176" t="s">
        <v>525</v>
      </c>
      <c r="G265" s="84" t="s">
        <v>75</v>
      </c>
      <c r="H265" s="177"/>
      <c r="I265" s="178"/>
      <c r="J265" s="179" t="s">
        <v>528</v>
      </c>
      <c r="K265" s="75"/>
      <c r="L265" s="93"/>
      <c r="M265" s="77">
        <f t="shared" si="20"/>
        <v>0</v>
      </c>
      <c r="N265" s="75"/>
      <c r="O265" s="93"/>
      <c r="P265" s="78"/>
      <c r="Q265" s="79"/>
      <c r="R265" s="36"/>
      <c r="S265" s="37"/>
      <c r="T265" s="224"/>
      <c r="U265" s="224"/>
      <c r="V265" s="80"/>
      <c r="W265" s="41"/>
    </row>
    <row r="266" spans="2:24" ht="18" customHeight="1" x14ac:dyDescent="0.3">
      <c r="B266" s="25" t="s">
        <v>529</v>
      </c>
      <c r="C266" s="25"/>
      <c r="D266" s="25"/>
      <c r="E266" s="74"/>
      <c r="F266" s="176" t="s">
        <v>525</v>
      </c>
      <c r="G266" s="84" t="s">
        <v>75</v>
      </c>
      <c r="H266" s="177"/>
      <c r="I266" s="178"/>
      <c r="J266" s="179" t="s">
        <v>530</v>
      </c>
      <c r="K266" s="75">
        <v>1700000</v>
      </c>
      <c r="L266" s="93">
        <v>0</v>
      </c>
      <c r="M266" s="77">
        <f t="shared" si="20"/>
        <v>1700000</v>
      </c>
      <c r="N266" s="75"/>
      <c r="O266" s="93"/>
      <c r="P266" s="78"/>
      <c r="Q266" s="79"/>
      <c r="R266" s="36"/>
      <c r="S266" s="37"/>
      <c r="T266" s="224"/>
      <c r="U266" s="224"/>
      <c r="V266" s="80"/>
      <c r="W266" s="41"/>
      <c r="X266" s="3" t="s">
        <v>531</v>
      </c>
    </row>
    <row r="267" spans="2:24" ht="18" customHeight="1" x14ac:dyDescent="0.3">
      <c r="B267" s="25" t="s">
        <v>532</v>
      </c>
      <c r="C267" s="25"/>
      <c r="D267" s="25"/>
      <c r="E267" s="74"/>
      <c r="F267" s="176" t="s">
        <v>525</v>
      </c>
      <c r="G267" s="84" t="s">
        <v>75</v>
      </c>
      <c r="H267" s="177"/>
      <c r="I267" s="178"/>
      <c r="J267" s="179" t="s">
        <v>533</v>
      </c>
      <c r="K267" s="75">
        <v>1038000</v>
      </c>
      <c r="L267" s="93">
        <v>0</v>
      </c>
      <c r="M267" s="77">
        <f t="shared" si="20"/>
        <v>1038000</v>
      </c>
      <c r="N267" s="75"/>
      <c r="O267" s="93"/>
      <c r="P267" s="78"/>
      <c r="Q267" s="79"/>
      <c r="R267" s="36"/>
      <c r="S267" s="37"/>
      <c r="T267" s="224"/>
      <c r="U267" s="224"/>
      <c r="V267" s="80"/>
      <c r="W267" s="41"/>
      <c r="X267" s="3" t="s">
        <v>531</v>
      </c>
    </row>
    <row r="268" spans="2:24" ht="18" customHeight="1" x14ac:dyDescent="0.3">
      <c r="B268" s="25" t="s">
        <v>534</v>
      </c>
      <c r="C268" s="25"/>
      <c r="D268" s="25"/>
      <c r="E268" s="74"/>
      <c r="F268" s="176" t="s">
        <v>525</v>
      </c>
      <c r="G268" s="84" t="s">
        <v>75</v>
      </c>
      <c r="H268" s="177"/>
      <c r="I268" s="178"/>
      <c r="J268" s="179" t="s">
        <v>535</v>
      </c>
      <c r="K268" s="246">
        <v>300702</v>
      </c>
      <c r="L268" s="93">
        <v>0</v>
      </c>
      <c r="M268" s="77">
        <f t="shared" si="20"/>
        <v>300702</v>
      </c>
      <c r="N268" s="75"/>
      <c r="O268" s="93"/>
      <c r="P268" s="78"/>
      <c r="Q268" s="79"/>
      <c r="R268" s="36"/>
      <c r="S268" s="37"/>
      <c r="T268" s="224"/>
      <c r="U268" s="224"/>
      <c r="V268" s="80"/>
      <c r="W268" s="41"/>
      <c r="X268" s="3" t="s">
        <v>531</v>
      </c>
    </row>
    <row r="269" spans="2:24" ht="18" customHeight="1" x14ac:dyDescent="0.3">
      <c r="B269" s="25" t="s">
        <v>524</v>
      </c>
      <c r="C269" s="25"/>
      <c r="D269" s="25"/>
      <c r="E269" s="74"/>
      <c r="F269" s="176" t="s">
        <v>525</v>
      </c>
      <c r="G269" s="84" t="s">
        <v>75</v>
      </c>
      <c r="H269" s="177"/>
      <c r="I269" s="178"/>
      <c r="J269" s="179" t="s">
        <v>536</v>
      </c>
      <c r="K269" s="247">
        <v>1400000</v>
      </c>
      <c r="L269" s="93">
        <v>0</v>
      </c>
      <c r="M269" s="77">
        <f t="shared" si="20"/>
        <v>1400000</v>
      </c>
      <c r="N269" s="75"/>
      <c r="O269" s="93"/>
      <c r="P269" s="78"/>
      <c r="Q269" s="79"/>
      <c r="R269" s="36"/>
      <c r="S269" s="37"/>
      <c r="T269" s="224"/>
      <c r="U269" s="224"/>
      <c r="V269" s="80"/>
      <c r="W269" s="41"/>
      <c r="X269" s="3" t="s">
        <v>531</v>
      </c>
    </row>
    <row r="270" spans="2:24" ht="18" customHeight="1" x14ac:dyDescent="0.3">
      <c r="B270" s="25" t="s">
        <v>532</v>
      </c>
      <c r="C270" s="25"/>
      <c r="D270" s="25"/>
      <c r="E270" s="74"/>
      <c r="F270" s="176" t="s">
        <v>525</v>
      </c>
      <c r="G270" s="84" t="s">
        <v>75</v>
      </c>
      <c r="H270" s="177"/>
      <c r="I270" s="178"/>
      <c r="J270" s="179" t="s">
        <v>537</v>
      </c>
      <c r="K270" s="75">
        <v>159824</v>
      </c>
      <c r="L270" s="93">
        <v>0</v>
      </c>
      <c r="M270" s="77">
        <f t="shared" si="20"/>
        <v>159824</v>
      </c>
      <c r="N270" s="75"/>
      <c r="O270" s="93"/>
      <c r="P270" s="78"/>
      <c r="Q270" s="79"/>
      <c r="R270" s="36"/>
      <c r="S270" s="37"/>
      <c r="T270" s="224"/>
      <c r="U270" s="224"/>
      <c r="V270" s="80"/>
      <c r="W270" s="41"/>
      <c r="X270" s="3" t="s">
        <v>531</v>
      </c>
    </row>
    <row r="271" spans="2:24" ht="18" customHeight="1" x14ac:dyDescent="0.3">
      <c r="B271" s="25" t="s">
        <v>534</v>
      </c>
      <c r="C271" s="25"/>
      <c r="D271" s="25"/>
      <c r="E271" s="74"/>
      <c r="F271" s="176" t="s">
        <v>525</v>
      </c>
      <c r="G271" s="84" t="s">
        <v>75</v>
      </c>
      <c r="H271" s="177"/>
      <c r="I271" s="178"/>
      <c r="J271" s="179" t="s">
        <v>538</v>
      </c>
      <c r="K271" s="75">
        <v>123872</v>
      </c>
      <c r="L271" s="93">
        <v>0</v>
      </c>
      <c r="M271" s="77">
        <f t="shared" si="20"/>
        <v>123872</v>
      </c>
      <c r="N271" s="75"/>
      <c r="O271" s="93"/>
      <c r="P271" s="78"/>
      <c r="Q271" s="79"/>
      <c r="R271" s="36"/>
      <c r="S271" s="37"/>
      <c r="T271" s="224"/>
      <c r="U271" s="224"/>
      <c r="V271" s="80"/>
      <c r="W271" s="41"/>
      <c r="X271" s="3" t="s">
        <v>531</v>
      </c>
    </row>
    <row r="272" spans="2:24" ht="18" customHeight="1" x14ac:dyDescent="0.3">
      <c r="B272" s="25" t="s">
        <v>524</v>
      </c>
      <c r="C272" s="25"/>
      <c r="D272" s="25"/>
      <c r="E272" s="74"/>
      <c r="F272" s="176" t="s">
        <v>525</v>
      </c>
      <c r="G272" s="84" t="s">
        <v>75</v>
      </c>
      <c r="H272" s="177"/>
      <c r="I272" s="178"/>
      <c r="J272" s="179" t="s">
        <v>539</v>
      </c>
      <c r="K272" s="75">
        <v>823920</v>
      </c>
      <c r="L272" s="93">
        <v>0</v>
      </c>
      <c r="M272" s="77">
        <f t="shared" si="20"/>
        <v>823920</v>
      </c>
      <c r="N272" s="75"/>
      <c r="O272" s="93"/>
      <c r="P272" s="78"/>
      <c r="Q272" s="79"/>
      <c r="R272" s="36"/>
      <c r="S272" s="37"/>
      <c r="T272" s="224"/>
      <c r="U272" s="224"/>
      <c r="V272" s="80"/>
      <c r="W272" s="41"/>
      <c r="X272" s="3" t="s">
        <v>531</v>
      </c>
    </row>
    <row r="273" spans="2:24" ht="18" customHeight="1" x14ac:dyDescent="0.3">
      <c r="B273" s="25" t="s">
        <v>540</v>
      </c>
      <c r="C273" s="25"/>
      <c r="D273" s="25"/>
      <c r="E273" s="74"/>
      <c r="F273" s="176" t="s">
        <v>525</v>
      </c>
      <c r="G273" s="84" t="s">
        <v>75</v>
      </c>
      <c r="H273" s="177"/>
      <c r="I273" s="178"/>
      <c r="J273" s="179" t="s">
        <v>541</v>
      </c>
      <c r="K273" s="75">
        <v>197335</v>
      </c>
      <c r="L273" s="93">
        <v>0</v>
      </c>
      <c r="M273" s="77">
        <f t="shared" si="20"/>
        <v>197335</v>
      </c>
      <c r="N273" s="75"/>
      <c r="O273" s="93"/>
      <c r="P273" s="78"/>
      <c r="Q273" s="79"/>
      <c r="R273" s="36"/>
      <c r="S273" s="37"/>
      <c r="T273" s="224"/>
      <c r="U273" s="224"/>
      <c r="V273" s="80"/>
      <c r="W273" s="41"/>
      <c r="X273" s="3" t="s">
        <v>531</v>
      </c>
    </row>
    <row r="274" spans="2:24" ht="18" customHeight="1" x14ac:dyDescent="0.3">
      <c r="B274" s="25" t="s">
        <v>542</v>
      </c>
      <c r="C274" s="25"/>
      <c r="D274" s="25"/>
      <c r="E274" s="74"/>
      <c r="F274" s="176" t="s">
        <v>525</v>
      </c>
      <c r="G274" s="84" t="s">
        <v>75</v>
      </c>
      <c r="H274" s="177"/>
      <c r="I274" s="178"/>
      <c r="J274" s="179" t="s">
        <v>543</v>
      </c>
      <c r="K274" s="75">
        <v>272300</v>
      </c>
      <c r="L274" s="93">
        <v>0</v>
      </c>
      <c r="M274" s="77">
        <f t="shared" si="20"/>
        <v>272300</v>
      </c>
      <c r="N274" s="75"/>
      <c r="O274" s="93"/>
      <c r="P274" s="78"/>
      <c r="Q274" s="79"/>
      <c r="R274" s="36"/>
      <c r="S274" s="37"/>
      <c r="T274" s="224"/>
      <c r="U274" s="224"/>
      <c r="V274" s="80"/>
      <c r="W274" s="41"/>
      <c r="X274" s="3" t="s">
        <v>531</v>
      </c>
    </row>
    <row r="275" spans="2:24" ht="18" customHeight="1" x14ac:dyDescent="0.3">
      <c r="B275" s="25" t="s">
        <v>544</v>
      </c>
      <c r="C275" s="25"/>
      <c r="D275" s="25"/>
      <c r="E275" s="74"/>
      <c r="F275" s="176" t="s">
        <v>525</v>
      </c>
      <c r="G275" s="84" t="s">
        <v>75</v>
      </c>
      <c r="H275" s="177"/>
      <c r="I275" s="178"/>
      <c r="J275" s="179" t="s">
        <v>545</v>
      </c>
      <c r="K275" s="75">
        <v>67300</v>
      </c>
      <c r="L275" s="93">
        <v>0</v>
      </c>
      <c r="M275" s="77">
        <f t="shared" si="20"/>
        <v>67300</v>
      </c>
      <c r="N275" s="75"/>
      <c r="O275" s="93"/>
      <c r="P275" s="78"/>
      <c r="Q275" s="79"/>
      <c r="R275" s="36"/>
      <c r="S275" s="37"/>
      <c r="T275" s="224"/>
      <c r="U275" s="224"/>
      <c r="V275" s="80"/>
      <c r="W275" s="41"/>
      <c r="X275" s="3" t="s">
        <v>531</v>
      </c>
    </row>
    <row r="276" spans="2:24" ht="18" customHeight="1" x14ac:dyDescent="0.3">
      <c r="B276" s="25" t="s">
        <v>546</v>
      </c>
      <c r="C276" s="25"/>
      <c r="D276" s="25"/>
      <c r="E276" s="74"/>
      <c r="F276" s="176" t="s">
        <v>525</v>
      </c>
      <c r="G276" s="84" t="s">
        <v>75</v>
      </c>
      <c r="H276" s="177"/>
      <c r="I276" s="178"/>
      <c r="J276" s="179" t="s">
        <v>547</v>
      </c>
      <c r="K276" s="75">
        <v>7200</v>
      </c>
      <c r="L276" s="93">
        <v>0</v>
      </c>
      <c r="M276" s="77">
        <f t="shared" si="20"/>
        <v>7200</v>
      </c>
      <c r="N276" s="75"/>
      <c r="O276" s="93"/>
      <c r="P276" s="78"/>
      <c r="Q276" s="79"/>
      <c r="R276" s="36"/>
      <c r="S276" s="37"/>
      <c r="T276" s="224"/>
      <c r="U276" s="224"/>
      <c r="V276" s="80"/>
      <c r="W276" s="41"/>
      <c r="X276" s="3" t="s">
        <v>531</v>
      </c>
    </row>
    <row r="277" spans="2:24" ht="18" customHeight="1" x14ac:dyDescent="0.3">
      <c r="B277" s="25" t="s">
        <v>548</v>
      </c>
      <c r="C277" s="25"/>
      <c r="D277" s="25"/>
      <c r="E277" s="74"/>
      <c r="F277" s="176" t="s">
        <v>525</v>
      </c>
      <c r="G277" s="84" t="s">
        <v>75</v>
      </c>
      <c r="H277" s="177"/>
      <c r="I277" s="178"/>
      <c r="J277" s="179" t="s">
        <v>549</v>
      </c>
      <c r="K277" s="75">
        <v>124600</v>
      </c>
      <c r="L277" s="93">
        <v>0</v>
      </c>
      <c r="M277" s="77">
        <f t="shared" si="20"/>
        <v>124600</v>
      </c>
      <c r="N277" s="75"/>
      <c r="O277" s="93"/>
      <c r="P277" s="78"/>
      <c r="Q277" s="79"/>
      <c r="R277" s="36"/>
      <c r="S277" s="37"/>
      <c r="T277" s="224"/>
      <c r="U277" s="224"/>
      <c r="V277" s="80"/>
      <c r="W277" s="41"/>
      <c r="X277" s="3" t="s">
        <v>531</v>
      </c>
    </row>
    <row r="278" spans="2:24" ht="18" customHeight="1" x14ac:dyDescent="0.3">
      <c r="B278" s="25" t="s">
        <v>550</v>
      </c>
      <c r="C278" s="25"/>
      <c r="D278" s="25"/>
      <c r="E278" s="74"/>
      <c r="F278" s="176" t="s">
        <v>525</v>
      </c>
      <c r="G278" s="84" t="s">
        <v>75</v>
      </c>
      <c r="H278" s="177"/>
      <c r="I278" s="178"/>
      <c r="J278" s="179" t="s">
        <v>551</v>
      </c>
      <c r="K278" s="75">
        <v>176010</v>
      </c>
      <c r="L278" s="93">
        <v>0</v>
      </c>
      <c r="M278" s="77">
        <f t="shared" si="20"/>
        <v>176010</v>
      </c>
      <c r="N278" s="75"/>
      <c r="O278" s="93"/>
      <c r="P278" s="78"/>
      <c r="Q278" s="79"/>
      <c r="R278" s="36"/>
      <c r="S278" s="37"/>
      <c r="T278" s="224"/>
      <c r="U278" s="224"/>
      <c r="V278" s="80"/>
      <c r="W278" s="41"/>
      <c r="X278" s="3" t="s">
        <v>531</v>
      </c>
    </row>
    <row r="279" spans="2:24" ht="18" customHeight="1" x14ac:dyDescent="0.3">
      <c r="B279" s="25" t="s">
        <v>552</v>
      </c>
      <c r="C279" s="25"/>
      <c r="D279" s="25"/>
      <c r="E279" s="74"/>
      <c r="F279" s="176" t="s">
        <v>525</v>
      </c>
      <c r="G279" s="84" t="s">
        <v>75</v>
      </c>
      <c r="H279" s="177"/>
      <c r="I279" s="178"/>
      <c r="J279" s="179" t="s">
        <v>553</v>
      </c>
      <c r="K279" s="75">
        <v>16000</v>
      </c>
      <c r="L279" s="93">
        <v>0</v>
      </c>
      <c r="M279" s="77">
        <f t="shared" si="20"/>
        <v>16000</v>
      </c>
      <c r="N279" s="75"/>
      <c r="O279" s="93"/>
      <c r="P279" s="78"/>
      <c r="Q279" s="79"/>
      <c r="R279" s="36"/>
      <c r="S279" s="37"/>
      <c r="T279" s="224"/>
      <c r="U279" s="224"/>
      <c r="V279" s="80"/>
      <c r="W279" s="41"/>
      <c r="X279" s="3" t="s">
        <v>531</v>
      </c>
    </row>
    <row r="280" spans="2:24" ht="18" customHeight="1" x14ac:dyDescent="0.3">
      <c r="B280" s="25" t="s">
        <v>554</v>
      </c>
      <c r="C280" s="25"/>
      <c r="D280" s="25"/>
      <c r="E280" s="74"/>
      <c r="F280" s="176" t="s">
        <v>525</v>
      </c>
      <c r="G280" s="84" t="s">
        <v>75</v>
      </c>
      <c r="H280" s="177"/>
      <c r="I280" s="178"/>
      <c r="J280" s="179" t="s">
        <v>555</v>
      </c>
      <c r="K280" s="75">
        <v>127000</v>
      </c>
      <c r="L280" s="93">
        <v>0</v>
      </c>
      <c r="M280" s="77">
        <f t="shared" si="20"/>
        <v>127000</v>
      </c>
      <c r="N280" s="75"/>
      <c r="O280" s="93"/>
      <c r="P280" s="78"/>
      <c r="Q280" s="79"/>
      <c r="R280" s="36"/>
      <c r="S280" s="37"/>
      <c r="T280" s="224"/>
      <c r="U280" s="224"/>
      <c r="V280" s="80"/>
      <c r="W280" s="41"/>
      <c r="X280" s="3" t="s">
        <v>531</v>
      </c>
    </row>
    <row r="281" spans="2:24" ht="18" customHeight="1" x14ac:dyDescent="0.3">
      <c r="B281" s="25" t="s">
        <v>556</v>
      </c>
      <c r="C281" s="25"/>
      <c r="D281" s="25"/>
      <c r="E281" s="74"/>
      <c r="F281" s="176" t="s">
        <v>525</v>
      </c>
      <c r="G281" s="84" t="s">
        <v>75</v>
      </c>
      <c r="H281" s="177"/>
      <c r="I281" s="178"/>
      <c r="J281" s="179" t="s">
        <v>557</v>
      </c>
      <c r="K281" s="75">
        <v>14600</v>
      </c>
      <c r="L281" s="93">
        <v>0</v>
      </c>
      <c r="M281" s="77">
        <f t="shared" si="20"/>
        <v>14600</v>
      </c>
      <c r="N281" s="75"/>
      <c r="O281" s="93"/>
      <c r="P281" s="78"/>
      <c r="Q281" s="79"/>
      <c r="R281" s="36"/>
      <c r="S281" s="37"/>
      <c r="T281" s="224"/>
      <c r="U281" s="224"/>
      <c r="V281" s="80"/>
      <c r="W281" s="41"/>
      <c r="X281" s="3" t="s">
        <v>531</v>
      </c>
    </row>
    <row r="282" spans="2:24" ht="18" customHeight="1" x14ac:dyDescent="0.3">
      <c r="B282" s="25" t="s">
        <v>558</v>
      </c>
      <c r="C282" s="25"/>
      <c r="D282" s="25"/>
      <c r="E282" s="74"/>
      <c r="F282" s="176" t="s">
        <v>525</v>
      </c>
      <c r="G282" s="84" t="s">
        <v>75</v>
      </c>
      <c r="H282" s="177"/>
      <c r="I282" s="178"/>
      <c r="J282" s="179" t="s">
        <v>559</v>
      </c>
      <c r="K282" s="75">
        <v>17700</v>
      </c>
      <c r="L282" s="93">
        <v>0</v>
      </c>
      <c r="M282" s="77">
        <f t="shared" si="20"/>
        <v>17700</v>
      </c>
      <c r="N282" s="75"/>
      <c r="O282" s="93"/>
      <c r="P282" s="78"/>
      <c r="Q282" s="79"/>
      <c r="R282" s="36"/>
      <c r="S282" s="37"/>
      <c r="T282" s="224"/>
      <c r="U282" s="224"/>
      <c r="V282" s="80"/>
      <c r="W282" s="41"/>
      <c r="X282" s="3" t="s">
        <v>531</v>
      </c>
    </row>
    <row r="283" spans="2:24" ht="18" customHeight="1" x14ac:dyDescent="0.3">
      <c r="B283" s="25" t="s">
        <v>560</v>
      </c>
      <c r="C283" s="25"/>
      <c r="D283" s="25"/>
      <c r="E283" s="74"/>
      <c r="F283" s="176" t="s">
        <v>525</v>
      </c>
      <c r="G283" s="84" t="s">
        <v>75</v>
      </c>
      <c r="H283" s="177"/>
      <c r="I283" s="178"/>
      <c r="J283" s="179" t="s">
        <v>561</v>
      </c>
      <c r="K283" s="75">
        <v>0</v>
      </c>
      <c r="L283" s="93">
        <v>6700</v>
      </c>
      <c r="M283" s="77">
        <f t="shared" si="20"/>
        <v>6700</v>
      </c>
      <c r="N283" s="75"/>
      <c r="O283" s="93"/>
      <c r="P283" s="78"/>
      <c r="Q283" s="79"/>
      <c r="R283" s="36"/>
      <c r="S283" s="37"/>
      <c r="T283" s="224"/>
      <c r="U283" s="224"/>
      <c r="V283" s="80"/>
      <c r="W283" s="41"/>
      <c r="X283" s="3" t="s">
        <v>531</v>
      </c>
    </row>
    <row r="284" spans="2:24" ht="18" customHeight="1" x14ac:dyDescent="0.3">
      <c r="B284" s="25" t="s">
        <v>542</v>
      </c>
      <c r="C284" s="25"/>
      <c r="D284" s="25"/>
      <c r="E284" s="74"/>
      <c r="F284" s="176" t="s">
        <v>525</v>
      </c>
      <c r="G284" s="84" t="s">
        <v>75</v>
      </c>
      <c r="H284" s="177"/>
      <c r="I284" s="178"/>
      <c r="J284" s="179" t="s">
        <v>562</v>
      </c>
      <c r="K284" s="75">
        <v>0</v>
      </c>
      <c r="L284" s="93">
        <v>18284</v>
      </c>
      <c r="M284" s="77">
        <f t="shared" si="20"/>
        <v>18284</v>
      </c>
      <c r="N284" s="75"/>
      <c r="O284" s="93"/>
      <c r="P284" s="78"/>
      <c r="Q284" s="79"/>
      <c r="R284" s="36"/>
      <c r="S284" s="37"/>
      <c r="T284" s="224"/>
      <c r="U284" s="224"/>
      <c r="V284" s="80"/>
      <c r="W284" s="41"/>
      <c r="X284" s="3" t="s">
        <v>531</v>
      </c>
    </row>
    <row r="285" spans="2:24" ht="18" customHeight="1" x14ac:dyDescent="0.3">
      <c r="B285" s="25" t="s">
        <v>563</v>
      </c>
      <c r="C285" s="25"/>
      <c r="D285" s="25"/>
      <c r="E285" s="74"/>
      <c r="F285" s="176" t="s">
        <v>525</v>
      </c>
      <c r="G285" s="84" t="s">
        <v>75</v>
      </c>
      <c r="H285" s="177"/>
      <c r="I285" s="178"/>
      <c r="J285" s="179" t="s">
        <v>564</v>
      </c>
      <c r="K285" s="75">
        <v>0</v>
      </c>
      <c r="L285" s="93">
        <v>6500</v>
      </c>
      <c r="M285" s="77">
        <f t="shared" si="20"/>
        <v>6500</v>
      </c>
      <c r="N285" s="75"/>
      <c r="O285" s="93"/>
      <c r="P285" s="78"/>
      <c r="Q285" s="79"/>
      <c r="R285" s="36"/>
      <c r="S285" s="37"/>
      <c r="T285" s="224"/>
      <c r="U285" s="224"/>
      <c r="V285" s="80"/>
      <c r="W285" s="41"/>
      <c r="X285" s="3" t="s">
        <v>531</v>
      </c>
    </row>
    <row r="286" spans="2:24" ht="18" customHeight="1" x14ac:dyDescent="0.3">
      <c r="B286" s="25" t="s">
        <v>565</v>
      </c>
      <c r="C286" s="25"/>
      <c r="D286" s="25"/>
      <c r="E286" s="74"/>
      <c r="F286" s="176" t="s">
        <v>525</v>
      </c>
      <c r="G286" s="84" t="s">
        <v>75</v>
      </c>
      <c r="H286" s="177"/>
      <c r="I286" s="178"/>
      <c r="J286" s="179" t="s">
        <v>566</v>
      </c>
      <c r="K286" s="75">
        <v>0</v>
      </c>
      <c r="L286" s="93">
        <v>1800</v>
      </c>
      <c r="M286" s="77">
        <f t="shared" si="20"/>
        <v>1800</v>
      </c>
      <c r="N286" s="75"/>
      <c r="O286" s="93"/>
      <c r="P286" s="78"/>
      <c r="Q286" s="79"/>
      <c r="R286" s="36"/>
      <c r="S286" s="37"/>
      <c r="T286" s="224"/>
      <c r="U286" s="224"/>
      <c r="V286" s="80"/>
      <c r="W286" s="41"/>
      <c r="X286" s="3" t="s">
        <v>531</v>
      </c>
    </row>
    <row r="287" spans="2:24" ht="18" customHeight="1" x14ac:dyDescent="0.3">
      <c r="B287" s="25" t="s">
        <v>567</v>
      </c>
      <c r="C287" s="25"/>
      <c r="D287" s="25"/>
      <c r="E287" s="74"/>
      <c r="F287" s="176" t="s">
        <v>525</v>
      </c>
      <c r="G287" s="84" t="s">
        <v>75</v>
      </c>
      <c r="H287" s="177"/>
      <c r="I287" s="178"/>
      <c r="J287" s="179" t="s">
        <v>568</v>
      </c>
      <c r="K287" s="75">
        <v>0</v>
      </c>
      <c r="L287" s="93">
        <v>6290</v>
      </c>
      <c r="M287" s="77">
        <f t="shared" si="20"/>
        <v>6290</v>
      </c>
      <c r="N287" s="75"/>
      <c r="O287" s="93"/>
      <c r="P287" s="78"/>
      <c r="Q287" s="79"/>
      <c r="R287" s="36"/>
      <c r="S287" s="37"/>
      <c r="T287" s="224"/>
      <c r="U287" s="224"/>
      <c r="V287" s="80"/>
      <c r="W287" s="41"/>
      <c r="X287" s="3" t="s">
        <v>531</v>
      </c>
    </row>
    <row r="288" spans="2:24" ht="18" customHeight="1" x14ac:dyDescent="0.3">
      <c r="B288" s="25" t="s">
        <v>569</v>
      </c>
      <c r="C288" s="25"/>
      <c r="D288" s="25"/>
      <c r="E288" s="74"/>
      <c r="F288" s="176" t="s">
        <v>525</v>
      </c>
      <c r="G288" s="84" t="s">
        <v>75</v>
      </c>
      <c r="H288" s="177"/>
      <c r="I288" s="178"/>
      <c r="J288" s="179" t="s">
        <v>570</v>
      </c>
      <c r="K288" s="75">
        <v>0</v>
      </c>
      <c r="L288" s="93">
        <v>6300</v>
      </c>
      <c r="M288" s="77">
        <f t="shared" si="20"/>
        <v>6300</v>
      </c>
      <c r="N288" s="75"/>
      <c r="O288" s="93"/>
      <c r="P288" s="78"/>
      <c r="Q288" s="79"/>
      <c r="R288" s="36"/>
      <c r="S288" s="37"/>
      <c r="T288" s="224"/>
      <c r="U288" s="224"/>
      <c r="V288" s="80"/>
      <c r="W288" s="41"/>
      <c r="X288" s="3" t="s">
        <v>531</v>
      </c>
    </row>
    <row r="289" spans="2:23" s="306" customFormat="1" ht="18" customHeight="1" x14ac:dyDescent="0.3">
      <c r="B289" s="307" t="s">
        <v>571</v>
      </c>
      <c r="C289" s="307"/>
      <c r="D289" s="307"/>
      <c r="E289" s="332"/>
      <c r="F289" s="176" t="s">
        <v>74</v>
      </c>
      <c r="G289" s="323" t="s">
        <v>75</v>
      </c>
      <c r="H289" s="324"/>
      <c r="I289" s="325"/>
      <c r="J289" s="326" t="s">
        <v>572</v>
      </c>
      <c r="K289" s="312">
        <v>100000</v>
      </c>
      <c r="L289" s="333"/>
      <c r="M289" s="314">
        <f t="shared" si="20"/>
        <v>100000</v>
      </c>
      <c r="N289" s="312"/>
      <c r="O289" s="333"/>
      <c r="P289" s="315"/>
      <c r="Q289" s="316"/>
      <c r="R289" s="334"/>
      <c r="S289" s="335"/>
      <c r="T289" s="336"/>
      <c r="U289" s="336"/>
      <c r="V289" s="320"/>
      <c r="W289" s="337"/>
    </row>
    <row r="290" spans="2:23" ht="18" customHeight="1" x14ac:dyDescent="0.3">
      <c r="B290" s="25" t="s">
        <v>573</v>
      </c>
      <c r="C290" s="25"/>
      <c r="D290" s="25"/>
      <c r="E290" s="74"/>
      <c r="F290" s="176"/>
      <c r="G290" s="84"/>
      <c r="H290" s="177"/>
      <c r="I290" s="178"/>
      <c r="J290" s="179"/>
      <c r="K290" s="75"/>
      <c r="L290" s="93"/>
      <c r="M290" s="77"/>
      <c r="N290" s="75">
        <v>59842</v>
      </c>
      <c r="O290" s="93"/>
      <c r="P290" s="78">
        <f t="shared" si="21"/>
        <v>59842</v>
      </c>
      <c r="Q290" s="79"/>
      <c r="R290" s="225">
        <v>46142</v>
      </c>
      <c r="S290" s="37"/>
      <c r="T290" s="224"/>
      <c r="U290" s="224"/>
      <c r="V290" s="80"/>
      <c r="W290" s="41"/>
    </row>
    <row r="291" spans="2:23" ht="18" customHeight="1" x14ac:dyDescent="0.3">
      <c r="B291" s="25"/>
      <c r="C291" s="25"/>
      <c r="D291" s="25"/>
      <c r="E291" s="74"/>
      <c r="F291" s="176"/>
      <c r="G291" s="84"/>
      <c r="H291" s="177"/>
      <c r="I291" s="178"/>
      <c r="J291" s="179"/>
      <c r="K291" s="75"/>
      <c r="L291" s="93"/>
      <c r="M291" s="77">
        <f t="shared" si="20"/>
        <v>0</v>
      </c>
      <c r="N291" s="75"/>
      <c r="O291" s="93"/>
      <c r="P291" s="78">
        <f t="shared" si="21"/>
        <v>0</v>
      </c>
      <c r="Q291" s="79"/>
      <c r="R291" s="225"/>
      <c r="S291" s="37"/>
      <c r="T291" s="224"/>
      <c r="U291" s="224"/>
      <c r="V291" s="80"/>
      <c r="W291" s="41"/>
    </row>
    <row r="292" spans="2:23" ht="18" customHeight="1" thickBot="1" x14ac:dyDescent="0.35">
      <c r="B292" s="302" t="s">
        <v>574</v>
      </c>
      <c r="C292" s="302"/>
      <c r="D292" s="302"/>
      <c r="E292" s="302"/>
      <c r="F292" s="231" t="s">
        <v>40</v>
      </c>
      <c r="G292" s="232" t="s">
        <v>49</v>
      </c>
      <c r="H292" s="233"/>
      <c r="I292" s="234"/>
      <c r="J292" s="235"/>
      <c r="K292" s="248">
        <f>SUM(K264:K291)</f>
        <v>6666363</v>
      </c>
      <c r="L292" s="240">
        <f t="shared" ref="L292:P292" si="22">SUM(L264:L291)</f>
        <v>45874</v>
      </c>
      <c r="M292" s="249">
        <f t="shared" si="22"/>
        <v>6712237</v>
      </c>
      <c r="N292" s="248">
        <f t="shared" si="22"/>
        <v>59842</v>
      </c>
      <c r="O292" s="240">
        <f t="shared" si="22"/>
        <v>0</v>
      </c>
      <c r="P292" s="249">
        <f t="shared" si="22"/>
        <v>59842</v>
      </c>
      <c r="Q292" s="240">
        <f>SUM(Q243:Q291)</f>
        <v>46600</v>
      </c>
      <c r="R292" s="241" t="s">
        <v>49</v>
      </c>
      <c r="S292" s="242" t="s">
        <v>40</v>
      </c>
      <c r="T292" s="243" t="s">
        <v>49</v>
      </c>
      <c r="U292" s="242" t="s">
        <v>40</v>
      </c>
      <c r="V292" s="244" t="s">
        <v>49</v>
      </c>
      <c r="W292" s="245" t="s">
        <v>49</v>
      </c>
    </row>
    <row r="293" spans="2:23" ht="18" customHeight="1" thickBot="1" x14ac:dyDescent="0.35">
      <c r="B293" s="303" t="s">
        <v>575</v>
      </c>
      <c r="C293" s="303"/>
      <c r="D293" s="303"/>
      <c r="E293" s="303"/>
      <c r="F293" s="250" t="s">
        <v>40</v>
      </c>
      <c r="G293" s="250" t="s">
        <v>40</v>
      </c>
      <c r="H293" s="251"/>
      <c r="I293" s="252"/>
      <c r="J293" s="253"/>
      <c r="K293" s="254">
        <f t="shared" ref="K293:Q293" si="23">K239+K210+K26+K263+K292</f>
        <v>35032563</v>
      </c>
      <c r="L293" s="255">
        <f t="shared" si="23"/>
        <v>7340274</v>
      </c>
      <c r="M293" s="256">
        <f t="shared" si="23"/>
        <v>42372837</v>
      </c>
      <c r="N293" s="254">
        <f t="shared" si="23"/>
        <v>6299378</v>
      </c>
      <c r="O293" s="255">
        <f t="shared" si="23"/>
        <v>1759272</v>
      </c>
      <c r="P293" s="257">
        <f t="shared" si="23"/>
        <v>8058650</v>
      </c>
      <c r="Q293" s="255">
        <f t="shared" si="23"/>
        <v>2895050</v>
      </c>
      <c r="R293" s="258" t="s">
        <v>40</v>
      </c>
      <c r="S293" s="259" t="s">
        <v>40</v>
      </c>
      <c r="T293" s="258" t="s">
        <v>40</v>
      </c>
      <c r="U293" s="260" t="s">
        <v>40</v>
      </c>
      <c r="V293" s="258" t="s">
        <v>40</v>
      </c>
      <c r="W293" s="261" t="s">
        <v>40</v>
      </c>
    </row>
    <row r="294" spans="2:23" ht="18" customHeight="1" thickTop="1" x14ac:dyDescent="0.3">
      <c r="L294" s="262">
        <f>K293/M293</f>
        <v>0.82676935226215797</v>
      </c>
      <c r="M294" s="262">
        <f>L293/M293</f>
        <v>0.17323064773784205</v>
      </c>
      <c r="N294" s="262">
        <f>M293/M293</f>
        <v>1</v>
      </c>
    </row>
    <row r="298" spans="2:23" ht="18" customHeight="1" x14ac:dyDescent="0.3"/>
    <row r="299" spans="2:23" ht="18" customHeight="1" x14ac:dyDescent="0.3"/>
    <row r="300" spans="2:23" ht="18" customHeight="1" x14ac:dyDescent="0.3"/>
    <row r="301" spans="2:23" ht="18" customHeight="1" x14ac:dyDescent="0.3"/>
  </sheetData>
  <mergeCells count="66">
    <mergeCell ref="B239:E239"/>
    <mergeCell ref="B263:E263"/>
    <mergeCell ref="B292:E292"/>
    <mergeCell ref="B293:E293"/>
    <mergeCell ref="Q19:Q20"/>
    <mergeCell ref="R19:S19"/>
    <mergeCell ref="T19:U19"/>
    <mergeCell ref="V19:W19"/>
    <mergeCell ref="B26:E26"/>
    <mergeCell ref="B210:E210"/>
    <mergeCell ref="B19:E20"/>
    <mergeCell ref="F19:F20"/>
    <mergeCell ref="G19:G20"/>
    <mergeCell ref="H19:J19"/>
    <mergeCell ref="K19:M19"/>
    <mergeCell ref="N19:P19"/>
    <mergeCell ref="L15:M15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3:M13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1:M11"/>
    <mergeCell ref="B10:C10"/>
    <mergeCell ref="D10:E10"/>
    <mergeCell ref="F10:G10"/>
    <mergeCell ref="H10:I10"/>
    <mergeCell ref="J10:K10"/>
    <mergeCell ref="L10:M10"/>
    <mergeCell ref="B11:C11"/>
    <mergeCell ref="D11:E11"/>
    <mergeCell ref="F11:G11"/>
    <mergeCell ref="H11:I11"/>
    <mergeCell ref="J11:K11"/>
    <mergeCell ref="L9:M9"/>
    <mergeCell ref="B2:Q3"/>
    <mergeCell ref="B8:C8"/>
    <mergeCell ref="D8:E8"/>
    <mergeCell ref="F8:G8"/>
    <mergeCell ref="H8:I8"/>
    <mergeCell ref="J8:K8"/>
    <mergeCell ref="L8:M8"/>
    <mergeCell ref="N8:Q8"/>
    <mergeCell ref="B9:C9"/>
    <mergeCell ref="D9:E9"/>
    <mergeCell ref="F9:G9"/>
    <mergeCell ref="H9:I9"/>
    <mergeCell ref="J9:K9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 프로</dc:creator>
  <cp:lastModifiedBy>종우 김</cp:lastModifiedBy>
  <dcterms:created xsi:type="dcterms:W3CDTF">2026-05-08T00:46:51Z</dcterms:created>
  <dcterms:modified xsi:type="dcterms:W3CDTF">2026-05-08T08:15:44Z</dcterms:modified>
</cp:coreProperties>
</file>